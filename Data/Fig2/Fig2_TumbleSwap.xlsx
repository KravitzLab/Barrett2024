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kravitza.PSYCH\Documents\Arduino\libraries\Barrett2024\Data\Fig2\"/>
    </mc:Choice>
  </mc:AlternateContent>
  <xr:revisionPtr revIDLastSave="0" documentId="13_ncr:1_{7965BA23-F5F6-4781-AFED-076745AE06F3}" xr6:coauthVersionLast="47" xr6:coauthVersionMax="47" xr10:uidLastSave="{00000000-0000-0000-0000-000000000000}"/>
  <bookViews>
    <workbookView xWindow="31335" yWindow="915" windowWidth="20415" windowHeight="137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sMcdhcz9E95L89DaAoLhRr5ICyX6xLfsOwRMvXkGyjc="/>
    </ext>
  </extLst>
</workbook>
</file>

<file path=xl/calcChain.xml><?xml version="1.0" encoding="utf-8"?>
<calcChain xmlns="http://schemas.openxmlformats.org/spreadsheetml/2006/main">
  <c r="E162" i="1" l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04" i="1"/>
  <c r="E105" i="1"/>
  <c r="E106" i="1"/>
  <c r="E107" i="1"/>
  <c r="E108" i="1"/>
  <c r="E109" i="1"/>
  <c r="E110" i="1"/>
  <c r="E111" i="1"/>
  <c r="E112" i="1"/>
  <c r="E10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29" i="1"/>
  <c r="E30" i="1"/>
  <c r="E31" i="1"/>
  <c r="E32" i="1"/>
  <c r="E33" i="1"/>
  <c r="E34" i="1"/>
  <c r="E35" i="1"/>
  <c r="E36" i="1"/>
  <c r="E37" i="1"/>
  <c r="E38" i="1"/>
  <c r="E39" i="1"/>
  <c r="E40" i="1"/>
  <c r="E28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04" i="1"/>
  <c r="D105" i="1"/>
  <c r="D106" i="1"/>
  <c r="D107" i="1"/>
  <c r="D108" i="1"/>
  <c r="D109" i="1"/>
  <c r="D110" i="1"/>
  <c r="D111" i="1"/>
  <c r="D112" i="1"/>
  <c r="D103" i="1"/>
  <c r="D81" i="1"/>
  <c r="D82" i="1"/>
  <c r="D83" i="1"/>
  <c r="D84" i="1"/>
  <c r="D85" i="1"/>
  <c r="D86" i="1"/>
  <c r="D87" i="1"/>
  <c r="D88" i="1"/>
  <c r="D89" i="1"/>
  <c r="D90" i="1"/>
  <c r="D91" i="1"/>
  <c r="D92" i="1"/>
  <c r="D80" i="1"/>
  <c r="D68" i="1"/>
  <c r="D69" i="1"/>
  <c r="D70" i="1"/>
  <c r="D71" i="1"/>
  <c r="D72" i="1"/>
  <c r="D73" i="1"/>
  <c r="D74" i="1"/>
  <c r="D75" i="1"/>
  <c r="D76" i="1"/>
  <c r="D77" i="1"/>
  <c r="D78" i="1"/>
  <c r="D79" i="1"/>
  <c r="D67" i="1"/>
  <c r="D55" i="1"/>
  <c r="D56" i="1"/>
  <c r="D57" i="1"/>
  <c r="D58" i="1"/>
  <c r="D59" i="1"/>
  <c r="D60" i="1"/>
  <c r="D61" i="1"/>
  <c r="D62" i="1"/>
  <c r="D63" i="1"/>
  <c r="D64" i="1"/>
  <c r="D65" i="1"/>
  <c r="D66" i="1"/>
  <c r="D54" i="1"/>
  <c r="D42" i="1"/>
  <c r="D43" i="1"/>
  <c r="D44" i="1"/>
  <c r="D45" i="1"/>
  <c r="D46" i="1"/>
  <c r="D47" i="1"/>
  <c r="D48" i="1"/>
  <c r="D49" i="1"/>
  <c r="D50" i="1"/>
  <c r="D51" i="1"/>
  <c r="D52" i="1"/>
  <c r="D53" i="1"/>
  <c r="D41" i="1"/>
  <c r="D29" i="1"/>
  <c r="D30" i="1"/>
  <c r="D31" i="1"/>
  <c r="D32" i="1"/>
  <c r="D33" i="1"/>
  <c r="D34" i="1"/>
  <c r="D35" i="1"/>
  <c r="D36" i="1"/>
  <c r="D37" i="1"/>
  <c r="D38" i="1"/>
  <c r="D39" i="1"/>
  <c r="D40" i="1"/>
  <c r="D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</calcChain>
</file>

<file path=xl/sharedStrings.xml><?xml version="1.0" encoding="utf-8"?>
<sst xmlns="http://schemas.openxmlformats.org/spreadsheetml/2006/main" count="331" uniqueCount="36">
  <si>
    <t>mouse</t>
  </si>
  <si>
    <t>date</t>
  </si>
  <si>
    <t>weight</t>
  </si>
  <si>
    <t>Weight gain</t>
  </si>
  <si>
    <t>day</t>
  </si>
  <si>
    <t>phase</t>
  </si>
  <si>
    <t>Calories</t>
  </si>
  <si>
    <t>Diet</t>
  </si>
  <si>
    <t>M1</t>
  </si>
  <si>
    <t>Baseline</t>
  </si>
  <si>
    <t>M2</t>
  </si>
  <si>
    <t>M3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</si>
  <si>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</si>
  <si>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</si>
  <si>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</si>
  <si>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</si>
  <si>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</si>
  <si>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</si>
  <si>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</si>
  <si>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</si>
  <si>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</si>
  <si>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</si>
  <si>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FreeChow</t>
  </si>
  <si>
    <t>FreeHFD</t>
  </si>
  <si>
    <t>FR1HFD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</si>
  <si>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</si>
  <si>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</si>
  <si>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</si>
  <si>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</si>
  <si>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</si>
  <si>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</si>
  <si>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</si>
  <si>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</si>
  <si>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</si>
  <si>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</si>
  <si>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weight_gain_percent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</si>
</sst>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"/>
  </numFmts>
  <fonts count="6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0"/>
      <color theme="1"/>
      <name val="Arial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right"/>
    </xf>
    <xf numFmtId="0" fontId="3" fillId="0" borderId="0" xfId="0" applyFont="1"/>
    <xf numFmtId="164" fontId="5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6"/>
  <sheetViews>
    <sheetView tabSelected="1" workbookViewId="0">
      <selection activeCell="E1" sqref="E1"/>
    </sheetView>
  </sheetViews>
  <sheetFormatPr defaultColWidth="12.5703125" defaultRowHeight="15" customHeight="1" x14ac:dyDescent="0.25"/>
  <cols>
    <col min="1" max="1" width="8.5703125" customWidth="1"/>
    <col min="2" max="2" width="9.85546875" customWidth="1"/>
    <col min="3" max="3" width="11.85546875" customWidth="1"/>
    <col min="4" max="4" width="16.28515625" customWidth="1"/>
    <col min="5" max="5" width="19.7109375" customWidth="1"/>
    <col min="6" max="7" width="8.5703125" customWidth="1"/>
    <col min="8" max="8" width="14.85546875" customWidth="1"/>
    <col min="9" max="27" width="8.5703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4</v>
      </c>
      <c r="G1" s="1" t="s">
        <v>5</v>
      </c>
      <c r="H1" s="1" t="s">
        <v>6</v>
      </c>
      <c r="I1" s="1" t="s">
        <v>7</v>
      </c>
      <c r="J1" s="2"/>
      <c r="K1" s="2"/>
      <c r="L1" s="1"/>
      <c r="M1" s="2"/>
    </row>
    <row r="2" spans="1:13" x14ac:dyDescent="0.25">
      <c r="A2" s="3" t="s">
        <v>8</v>
      </c>
      <c r="B2" s="4">
        <v>45180</v>
      </c>
      <c r="C2" s="3">
        <v>29.8</v>
      </c>
      <c r="D2" s="3">
        <v>0</v>
      </c>
      <c r="E2" s="3"/>
      <c r="F2" s="3">
        <v>0</v>
      </c>
      <c r="G2" s="3">
        <v>0</v>
      </c>
      <c r="H2" s="5"/>
      <c r="I2" s="1" t="s">
        <v>9</v>
      </c>
      <c r="J2" s="1"/>
      <c r="K2" s="6"/>
      <c r="M2" s="1"/>
    </row>
    <row r="3" spans="1:13" x14ac:dyDescent="0.25">
      <c r="A3" s="3" t="s">
        <v>10</v>
      </c>
      <c r="B3" s="4">
        <v>45180</v>
      </c>
      <c r="C3" s="3">
        <v>29.6</v>
      </c>
      <c r="D3" s="3">
        <v>0</v>
      </c>
      <c r="E3" s="3"/>
      <c r="F3" s="3">
        <v>0</v>
      </c>
      <c r="G3" s="3">
        <v>0</v>
      </c>
      <c r="H3" s="5"/>
      <c r="I3" s="1" t="s">
        <v>9</v>
      </c>
      <c r="J3" s="1"/>
      <c r="K3" s="6"/>
      <c r="M3" s="1"/>
    </row>
    <row r="4" spans="1:13" x14ac:dyDescent="0.25">
      <c r="A4" s="3" t="s">
        <v>11</v>
      </c>
      <c r="B4" s="4">
        <v>45180</v>
      </c>
      <c r="C4" s="3">
        <v>28.6</v>
      </c>
      <c r="D4" s="3">
        <v>0</v>
      </c>
      <c r="E4" s="3"/>
      <c r="F4" s="3">
        <v>0</v>
      </c>
      <c r="G4" s="3">
        <v>0</v>
      </c>
      <c r="H4" s="5"/>
      <c r="I4" s="1" t="s">
        <v>9</v>
      </c>
      <c r="J4" s="1"/>
      <c r="K4" s="6"/>
      <c r="M4" s="1"/>
    </row>
    <row r="5" spans="1:13" x14ac:dyDescent="0.25">
      <c r="A5" s="6" t="s">
        <v>12</v>
      </c>
      <c r="B5" s="7">
        <v>45430</v>
      </c>
      <c r="C5" s="6">
        <v>26.79</v>
      </c>
      <c r="D5" s="6">
        <v>0</v>
      </c>
      <c r="E5" s="6"/>
      <c r="F5" s="6">
        <v>0</v>
      </c>
      <c r="G5" s="6">
        <v>0</v>
      </c>
      <c r="H5" s="1"/>
      <c r="I5" s="1" t="s">
        <v>9</v>
      </c>
      <c r="J5" s="1"/>
      <c r="K5" s="6"/>
      <c r="M5" s="1"/>
    </row>
    <row r="6" spans="1:13" x14ac:dyDescent="0.25">
      <c r="A6" s="6" t="s">
        <v>13</v>
      </c>
      <c r="B6" s="7">
        <v>45430</v>
      </c>
      <c r="C6" s="6">
        <v>24.56</v>
      </c>
      <c r="D6" s="6">
        <v>0</v>
      </c>
      <c r="E6" s="6"/>
      <c r="F6" s="6">
        <v>0</v>
      </c>
      <c r="G6" s="6">
        <v>0</v>
      </c>
      <c r="H6" s="1"/>
      <c r="I6" s="1" t="s">
        <v>9</v>
      </c>
      <c r="J6" s="1"/>
      <c r="K6" s="6"/>
      <c r="M6" s="1"/>
    </row>
    <row r="7" spans="1:13" x14ac:dyDescent="0.25">
      <c r="A7" s="6" t="s">
        <v>14</v>
      </c>
      <c r="B7" s="7">
        <v>45430</v>
      </c>
      <c r="C7" s="6">
        <v>27.85</v>
      </c>
      <c r="D7" s="6">
        <v>0</v>
      </c>
      <c r="E7" s="6"/>
      <c r="F7" s="6">
        <v>0</v>
      </c>
      <c r="G7" s="6">
        <v>0</v>
      </c>
      <c r="H7" s="1"/>
      <c r="I7" s="1" t="s">
        <v>9</v>
      </c>
      <c r="J7" s="1"/>
      <c r="K7" s="6"/>
      <c r="M7" s="1"/>
    </row>
    <row r="8" spans="1:13" x14ac:dyDescent="0.25">
      <c r="A8" s="6" t="s">
        <v>15</v>
      </c>
      <c r="B8" s="7">
        <v>45430</v>
      </c>
      <c r="C8" s="6">
        <v>26.97</v>
      </c>
      <c r="D8" s="6">
        <v>0</v>
      </c>
      <c r="E8" s="6"/>
      <c r="F8" s="6">
        <v>0</v>
      </c>
      <c r="G8" s="6">
        <v>0</v>
      </c>
      <c r="H8" s="1"/>
      <c r="I8" s="1" t="s">
        <v>9</v>
      </c>
      <c r="J8" s="1"/>
      <c r="K8" s="6"/>
      <c r="M8" s="1"/>
    </row>
    <row r="9" spans="1:13" x14ac:dyDescent="0.25">
      <c r="A9" s="6" t="s">
        <v>16</v>
      </c>
      <c r="B9" s="7">
        <v>45430</v>
      </c>
      <c r="C9" s="6">
        <v>30.18</v>
      </c>
      <c r="D9" s="6">
        <v>0</v>
      </c>
      <c r="E9" s="6"/>
      <c r="F9" s="6">
        <v>0</v>
      </c>
      <c r="G9" s="6">
        <v>0</v>
      </c>
      <c r="H9" s="1"/>
      <c r="I9" s="1" t="s">
        <v>9</v>
      </c>
      <c r="J9" s="1"/>
      <c r="K9" s="6"/>
      <c r="M9" s="1"/>
    </row>
    <row r="10" spans="1:13" x14ac:dyDescent="0.25">
      <c r="A10" s="6" t="s">
        <v>17</v>
      </c>
      <c r="B10" s="7">
        <v>45430</v>
      </c>
      <c r="C10" s="6">
        <v>29.25</v>
      </c>
      <c r="D10" s="6">
        <v>0</v>
      </c>
      <c r="E10" s="6"/>
      <c r="F10" s="6">
        <v>0</v>
      </c>
      <c r="G10" s="6">
        <v>0</v>
      </c>
      <c r="H10" s="1"/>
      <c r="I10" s="1" t="s">
        <v>9</v>
      </c>
      <c r="J10" s="1"/>
      <c r="K10" s="6"/>
      <c r="M10" s="1"/>
    </row>
    <row r="11" spans="1:13" x14ac:dyDescent="0.25">
      <c r="A11" s="6" t="s">
        <v>18</v>
      </c>
      <c r="B11" s="7">
        <v>45430</v>
      </c>
      <c r="C11" s="6">
        <v>27.62</v>
      </c>
      <c r="D11" s="6">
        <v>0</v>
      </c>
      <c r="E11" s="6"/>
      <c r="F11" s="6">
        <v>0</v>
      </c>
      <c r="G11" s="6">
        <v>0</v>
      </c>
      <c r="H11" s="1"/>
      <c r="I11" s="1" t="s">
        <v>9</v>
      </c>
      <c r="J11" s="1"/>
      <c r="K11" s="6"/>
      <c r="M11" s="1"/>
    </row>
    <row r="12" spans="1:13" x14ac:dyDescent="0.25">
      <c r="A12" s="6" t="s">
        <v>19</v>
      </c>
      <c r="B12" s="7">
        <v>45430</v>
      </c>
      <c r="C12" s="6">
        <v>24.97</v>
      </c>
      <c r="D12" s="6">
        <v>0</v>
      </c>
      <c r="E12" s="6"/>
      <c r="F12" s="6">
        <v>0</v>
      </c>
      <c r="G12" s="6">
        <v>0</v>
      </c>
      <c r="H12" s="1"/>
      <c r="I12" s="1" t="s">
        <v>9</v>
      </c>
      <c r="J12" s="1"/>
      <c r="K12" s="6"/>
      <c r="M12" s="1"/>
    </row>
    <row r="13" spans="1:13" x14ac:dyDescent="0.25">
      <c r="A13" s="6" t="s">
        <v>20</v>
      </c>
      <c r="B13" s="7">
        <v>45430</v>
      </c>
      <c r="C13" s="6">
        <v>24.98</v>
      </c>
      <c r="D13" s="6">
        <v>0</v>
      </c>
      <c r="E13" s="6"/>
      <c r="F13" s="6">
        <v>0</v>
      </c>
      <c r="G13" s="6">
        <v>0</v>
      </c>
      <c r="H13" s="1"/>
      <c r="I13" s="1" t="s">
        <v>9</v>
      </c>
      <c r="J13" s="1"/>
      <c r="K13" s="6"/>
      <c r="M13" s="1"/>
    </row>
    <row r="14" spans="1:13" x14ac:dyDescent="0.25">
      <c r="A14" s="6" t="s">
        <v>21</v>
      </c>
      <c r="B14" s="7">
        <v>45430</v>
      </c>
      <c r="C14" s="6">
        <v>27.03</v>
      </c>
      <c r="D14" s="6">
        <v>0</v>
      </c>
      <c r="E14" s="6"/>
      <c r="F14" s="6">
        <v>0</v>
      </c>
      <c r="G14" s="6">
        <v>0</v>
      </c>
      <c r="H14" s="1"/>
      <c r="I14" s="1" t="s">
        <v>9</v>
      </c>
      <c r="J14" s="1"/>
      <c r="K14" s="6"/>
      <c r="M14" s="1"/>
    </row>
    <row r="15" spans="1:13" x14ac:dyDescent="0.25">
      <c r="A15" s="1" t="s">
        <v>8</v>
      </c>
      <c r="B15" s="1">
        <v>45184</v>
      </c>
      <c r="C15" s="1">
        <v>30</v>
      </c>
      <c r="D15" s="1">
        <v>0.19999999999999901</v>
      </c>
      <c r="E15" s="1">
        <f>C15/C$15*100-100</f>
        <v>0</v>
      </c>
      <c r="F15" s="1">
        <v>5</v>
      </c>
      <c r="G15" s="1">
        <v>1</v>
      </c>
      <c r="H15" s="1">
        <v>13.144000000000002</v>
      </c>
      <c r="I15" s="1" t="s">
        <v>22</v>
      </c>
      <c r="J15" s="1"/>
      <c r="K15" s="6"/>
      <c r="M15" s="1"/>
    </row>
    <row r="16" spans="1:13" x14ac:dyDescent="0.25">
      <c r="A16" s="1" t="s">
        <v>10</v>
      </c>
      <c r="B16" s="1">
        <v>45184</v>
      </c>
      <c r="C16" s="1">
        <v>29</v>
      </c>
      <c r="D16" s="1">
        <v>-0.60000000000000142</v>
      </c>
      <c r="E16" s="1">
        <f>C16/C$16*100-100</f>
        <v>0</v>
      </c>
      <c r="F16" s="1">
        <v>5</v>
      </c>
      <c r="G16" s="1">
        <v>1</v>
      </c>
      <c r="H16" s="1">
        <v>0.93</v>
      </c>
      <c r="I16" s="1" t="s">
        <v>22</v>
      </c>
      <c r="J16" s="1"/>
      <c r="K16" s="6"/>
      <c r="M16" s="1"/>
    </row>
    <row r="17" spans="1:13" x14ac:dyDescent="0.25">
      <c r="A17" s="1" t="s">
        <v>11</v>
      </c>
      <c r="B17" s="1">
        <v>45184</v>
      </c>
      <c r="C17" s="1">
        <v>28.7</v>
      </c>
      <c r="D17" s="1">
        <v>9.9999999999997868E-2</v>
      </c>
      <c r="E17" s="1">
        <f>C17/C$17*100-100</f>
        <v>0</v>
      </c>
      <c r="F17" s="1">
        <v>5</v>
      </c>
      <c r="G17" s="1">
        <v>1</v>
      </c>
      <c r="H17" s="1">
        <v>9.92</v>
      </c>
      <c r="I17" s="1" t="s">
        <v>22</v>
      </c>
      <c r="J17" s="1"/>
      <c r="K17" s="6"/>
      <c r="M17" s="1"/>
    </row>
    <row r="18" spans="1:13" x14ac:dyDescent="0.25">
      <c r="A18" s="1" t="s">
        <v>12</v>
      </c>
      <c r="B18" s="1">
        <v>45435</v>
      </c>
      <c r="C18" s="1">
        <v>27.33</v>
      </c>
      <c r="D18" s="1">
        <v>0.53999999999999915</v>
      </c>
      <c r="E18" s="1">
        <f>C18/C$18*100-100</f>
        <v>0</v>
      </c>
      <c r="F18" s="1">
        <v>5</v>
      </c>
      <c r="G18" s="1">
        <v>1</v>
      </c>
      <c r="H18" s="1">
        <v>13.106800000000002</v>
      </c>
      <c r="I18" s="1" t="s">
        <v>22</v>
      </c>
      <c r="J18" s="1"/>
      <c r="K18" s="6"/>
      <c r="M18" s="1"/>
    </row>
    <row r="19" spans="1:13" x14ac:dyDescent="0.25">
      <c r="A19" s="1" t="s">
        <v>13</v>
      </c>
      <c r="B19" s="1">
        <v>45435</v>
      </c>
      <c r="C19" s="1">
        <v>25.43</v>
      </c>
      <c r="D19" s="1">
        <v>0.87000000000000099</v>
      </c>
      <c r="E19" s="1">
        <f>C19/C$19*100-100</f>
        <v>0</v>
      </c>
      <c r="F19" s="1">
        <v>5</v>
      </c>
      <c r="G19" s="1">
        <v>1</v>
      </c>
      <c r="H19" s="1">
        <v>14.526600000000002</v>
      </c>
      <c r="I19" s="1" t="s">
        <v>22</v>
      </c>
      <c r="J19" s="1"/>
      <c r="K19" s="6"/>
      <c r="M19" s="1"/>
    </row>
    <row r="20" spans="1:13" x14ac:dyDescent="0.25">
      <c r="A20" s="1" t="s">
        <v>14</v>
      </c>
      <c r="B20" s="1">
        <v>45435</v>
      </c>
      <c r="C20" s="1">
        <v>27.25</v>
      </c>
      <c r="D20" s="1">
        <v>-0.60000000000000142</v>
      </c>
      <c r="E20" s="1">
        <f>C20/C$20*100-100</f>
        <v>0</v>
      </c>
      <c r="F20" s="1">
        <v>5</v>
      </c>
      <c r="G20" s="1">
        <v>1</v>
      </c>
      <c r="H20" s="1">
        <v>13.3858</v>
      </c>
      <c r="I20" s="1" t="s">
        <v>22</v>
      </c>
      <c r="J20" s="1"/>
      <c r="K20" s="6"/>
      <c r="M20" s="1"/>
    </row>
    <row r="21" spans="1:13" x14ac:dyDescent="0.25">
      <c r="A21" s="1" t="s">
        <v>15</v>
      </c>
      <c r="B21" s="1">
        <v>45435</v>
      </c>
      <c r="C21" s="1">
        <v>26.4</v>
      </c>
      <c r="D21" s="1">
        <v>-0.57000000000000028</v>
      </c>
      <c r="E21" s="1">
        <f>C21/C$21*100-100</f>
        <v>0</v>
      </c>
      <c r="F21" s="1">
        <v>5</v>
      </c>
      <c r="G21" s="1">
        <v>1</v>
      </c>
      <c r="H21" s="1">
        <v>13.435400000000001</v>
      </c>
      <c r="I21" s="1" t="s">
        <v>22</v>
      </c>
      <c r="J21" s="1"/>
      <c r="K21" s="6"/>
      <c r="M21" s="1"/>
    </row>
    <row r="22" spans="1:13" x14ac:dyDescent="0.25">
      <c r="A22" s="1" t="s">
        <v>16</v>
      </c>
      <c r="B22" s="1">
        <v>45435</v>
      </c>
      <c r="C22" s="1">
        <v>29.88</v>
      </c>
      <c r="D22" s="1">
        <v>-0.30000000000000071</v>
      </c>
      <c r="E22" s="1">
        <f>C22/C$22*100-100</f>
        <v>0</v>
      </c>
      <c r="F22" s="1">
        <v>5</v>
      </c>
      <c r="G22" s="1">
        <v>1</v>
      </c>
      <c r="H22" s="1">
        <v>14.780800000000003</v>
      </c>
      <c r="I22" s="1" t="s">
        <v>22</v>
      </c>
      <c r="J22" s="1"/>
      <c r="K22" s="6"/>
      <c r="M22" s="1"/>
    </row>
    <row r="23" spans="1:13" x14ac:dyDescent="0.25">
      <c r="A23" s="1" t="s">
        <v>17</v>
      </c>
      <c r="B23" s="1">
        <v>45435</v>
      </c>
      <c r="C23" s="1">
        <v>29.76</v>
      </c>
      <c r="D23" s="1">
        <v>0.51000000000000156</v>
      </c>
      <c r="E23" s="1">
        <f>C23/C$23*100-100</f>
        <v>0</v>
      </c>
      <c r="F23" s="1">
        <v>5</v>
      </c>
      <c r="G23" s="1">
        <v>1</v>
      </c>
      <c r="H23" s="1">
        <v>15.146600000000001</v>
      </c>
      <c r="I23" s="1" t="s">
        <v>22</v>
      </c>
      <c r="J23" s="1"/>
      <c r="K23" s="6"/>
      <c r="M23" s="1"/>
    </row>
    <row r="24" spans="1:13" x14ac:dyDescent="0.25">
      <c r="A24" s="1" t="s">
        <v>18</v>
      </c>
      <c r="B24" s="1">
        <v>45435</v>
      </c>
      <c r="C24" s="1">
        <v>27.33</v>
      </c>
      <c r="D24" s="1">
        <v>-0.2900000000000027</v>
      </c>
      <c r="E24" s="1">
        <f>C24/C$24*100-100</f>
        <v>0</v>
      </c>
      <c r="F24" s="1">
        <v>5</v>
      </c>
      <c r="G24" s="1">
        <v>1</v>
      </c>
      <c r="H24" s="1">
        <v>14.954400000000001</v>
      </c>
      <c r="I24" s="1" t="s">
        <v>22</v>
      </c>
      <c r="J24" s="1"/>
      <c r="K24" s="6"/>
      <c r="M24" s="1"/>
    </row>
    <row r="25" spans="1:13" x14ac:dyDescent="0.25">
      <c r="A25" s="1" t="s">
        <v>19</v>
      </c>
      <c r="B25" s="1">
        <v>45435</v>
      </c>
      <c r="C25" s="1">
        <v>25.29</v>
      </c>
      <c r="D25" s="1">
        <v>0.32000000000000028</v>
      </c>
      <c r="E25" s="1">
        <f>C25/C$25*100-100</f>
        <v>0</v>
      </c>
      <c r="F25" s="1">
        <v>5</v>
      </c>
      <c r="G25" s="1">
        <v>1</v>
      </c>
      <c r="H25" s="1">
        <v>13.7454</v>
      </c>
      <c r="I25" s="1" t="s">
        <v>22</v>
      </c>
      <c r="J25" s="1"/>
      <c r="K25" s="6"/>
      <c r="M25" s="1"/>
    </row>
    <row r="26" spans="1:13" x14ac:dyDescent="0.25">
      <c r="A26" s="1" t="s">
        <v>20</v>
      </c>
      <c r="B26" s="1">
        <v>45435</v>
      </c>
      <c r="C26" s="1">
        <v>25.39</v>
      </c>
      <c r="D26" s="1">
        <v>0.41000000000000014</v>
      </c>
      <c r="E26" s="1">
        <f>C26/C$26*100-100</f>
        <v>0</v>
      </c>
      <c r="F26" s="1">
        <v>5</v>
      </c>
      <c r="G26" s="1">
        <v>1</v>
      </c>
      <c r="H26" s="1">
        <v>12.5364</v>
      </c>
      <c r="I26" s="1" t="s">
        <v>22</v>
      </c>
      <c r="J26" s="1"/>
      <c r="K26" s="6"/>
      <c r="M26" s="1"/>
    </row>
    <row r="27" spans="1:13" x14ac:dyDescent="0.25">
      <c r="A27" s="1" t="s">
        <v>21</v>
      </c>
      <c r="B27" s="1">
        <v>45435</v>
      </c>
      <c r="C27" s="1">
        <v>27.89</v>
      </c>
      <c r="D27" s="1">
        <v>0.85999999999999943</v>
      </c>
      <c r="E27" s="1">
        <f>C27/C$27*100-100</f>
        <v>0</v>
      </c>
      <c r="F27" s="1">
        <v>5</v>
      </c>
      <c r="G27" s="1">
        <v>1</v>
      </c>
      <c r="H27" s="1">
        <v>14.036799999999999</v>
      </c>
      <c r="I27" s="1" t="s">
        <v>22</v>
      </c>
      <c r="J27" s="1"/>
      <c r="K27" s="6"/>
      <c r="M27" s="1"/>
    </row>
    <row r="28" spans="1:13" ht="15.75" customHeight="1" x14ac:dyDescent="0.25">
      <c r="A28" s="1" t="s">
        <v>8</v>
      </c>
      <c r="B28" s="1">
        <v>45189</v>
      </c>
      <c r="C28" s="1">
        <v>31.67</v>
      </c>
      <c r="D28" s="1">
        <f>C28-C15</f>
        <v>1.6700000000000017</v>
      </c>
      <c r="E28" s="1">
        <f>C28/C15*100-100</f>
        <v>5.5666666666666771</v>
      </c>
      <c r="F28" s="1">
        <v>10</v>
      </c>
      <c r="G28" s="1">
        <v>2</v>
      </c>
      <c r="H28" s="1">
        <v>20.11112</v>
      </c>
      <c r="I28" s="1" t="s">
        <v>23</v>
      </c>
      <c r="J28" s="1"/>
      <c r="K28" s="6"/>
      <c r="M28" s="1"/>
    </row>
    <row r="29" spans="1:13" ht="15.75" customHeight="1" x14ac:dyDescent="0.25">
      <c r="A29" s="1" t="s">
        <v>10</v>
      </c>
      <c r="B29" s="1">
        <v>45189</v>
      </c>
      <c r="C29" s="1">
        <v>30.31</v>
      </c>
      <c r="D29" s="1">
        <f t="shared" ref="D29:D40" si="0">C29-C16</f>
        <v>1.3099999999999987</v>
      </c>
      <c r="E29" s="1">
        <f t="shared" ref="E29:E92" si="1">C29/C16*100-100</f>
        <v>4.5172413793103345</v>
      </c>
      <c r="F29" s="1">
        <v>10</v>
      </c>
      <c r="G29" s="1">
        <v>2</v>
      </c>
      <c r="H29" s="1">
        <v>21.221999999999998</v>
      </c>
      <c r="I29" s="1" t="s">
        <v>23</v>
      </c>
      <c r="J29" s="1"/>
      <c r="K29" s="6"/>
      <c r="M29" s="1"/>
    </row>
    <row r="30" spans="1:13" ht="15.75" customHeight="1" x14ac:dyDescent="0.25">
      <c r="A30" s="1" t="s">
        <v>11</v>
      </c>
      <c r="B30" s="1">
        <v>45189</v>
      </c>
      <c r="C30" s="1">
        <v>31.36</v>
      </c>
      <c r="D30" s="1">
        <f t="shared" si="0"/>
        <v>2.66</v>
      </c>
      <c r="E30" s="1">
        <f t="shared" si="1"/>
        <v>9.2682926829268411</v>
      </c>
      <c r="F30" s="1">
        <v>10</v>
      </c>
      <c r="G30" s="1">
        <v>2</v>
      </c>
      <c r="H30" s="1">
        <v>17.386320000000001</v>
      </c>
      <c r="I30" s="1" t="s">
        <v>23</v>
      </c>
      <c r="J30" s="1"/>
      <c r="K30" s="6"/>
      <c r="M30" s="1"/>
    </row>
    <row r="31" spans="1:13" ht="15.75" customHeight="1" x14ac:dyDescent="0.25">
      <c r="A31" s="1" t="s">
        <v>12</v>
      </c>
      <c r="B31" s="1">
        <v>45440</v>
      </c>
      <c r="C31" s="1">
        <v>31.64</v>
      </c>
      <c r="D31" s="1">
        <f t="shared" si="0"/>
        <v>4.3100000000000023</v>
      </c>
      <c r="E31" s="1">
        <f t="shared" si="1"/>
        <v>15.770215879985372</v>
      </c>
      <c r="F31" s="1">
        <v>10</v>
      </c>
      <c r="G31" s="1">
        <v>2</v>
      </c>
      <c r="H31" s="1">
        <v>25.110080000000004</v>
      </c>
      <c r="I31" s="1" t="s">
        <v>23</v>
      </c>
      <c r="J31" s="1"/>
      <c r="K31" s="6"/>
      <c r="M31" s="1"/>
    </row>
    <row r="32" spans="1:13" ht="15.75" customHeight="1" x14ac:dyDescent="0.25">
      <c r="A32" s="1" t="s">
        <v>13</v>
      </c>
      <c r="B32" s="1">
        <v>45440</v>
      </c>
      <c r="C32" s="1">
        <v>30.21</v>
      </c>
      <c r="D32" s="1">
        <f t="shared" si="0"/>
        <v>4.7800000000000011</v>
      </c>
      <c r="E32" s="1">
        <f t="shared" si="1"/>
        <v>18.79669681478569</v>
      </c>
      <c r="F32" s="1">
        <v>10</v>
      </c>
      <c r="G32" s="1">
        <v>2</v>
      </c>
      <c r="H32" s="1">
        <v>20.14256</v>
      </c>
      <c r="I32" s="1" t="s">
        <v>23</v>
      </c>
      <c r="J32" s="1"/>
      <c r="K32" s="6"/>
      <c r="M32" s="1"/>
    </row>
    <row r="33" spans="1:13" ht="15.75" customHeight="1" x14ac:dyDescent="0.25">
      <c r="A33" s="1" t="s">
        <v>14</v>
      </c>
      <c r="B33" s="1">
        <v>45440</v>
      </c>
      <c r="C33" s="1">
        <v>31.98</v>
      </c>
      <c r="D33" s="1">
        <f t="shared" si="0"/>
        <v>4.7300000000000004</v>
      </c>
      <c r="E33" s="1">
        <f t="shared" si="1"/>
        <v>17.357798165137609</v>
      </c>
      <c r="F33" s="1">
        <v>10</v>
      </c>
      <c r="G33" s="1">
        <v>2</v>
      </c>
      <c r="H33" s="1">
        <v>21.840320000000002</v>
      </c>
      <c r="I33" s="1" t="s">
        <v>23</v>
      </c>
      <c r="J33" s="1"/>
      <c r="K33" s="6"/>
      <c r="M33" s="1"/>
    </row>
    <row r="34" spans="1:13" ht="15.75" customHeight="1" x14ac:dyDescent="0.25">
      <c r="A34" s="1" t="s">
        <v>15</v>
      </c>
      <c r="B34" s="1">
        <v>45440</v>
      </c>
      <c r="C34" s="1">
        <v>29.24</v>
      </c>
      <c r="D34" s="1">
        <f t="shared" si="0"/>
        <v>2.84</v>
      </c>
      <c r="E34" s="1">
        <f t="shared" si="1"/>
        <v>10.757575757575765</v>
      </c>
      <c r="F34" s="1">
        <v>10</v>
      </c>
      <c r="G34" s="1">
        <v>2</v>
      </c>
      <c r="H34" s="1">
        <v>20.561760000000003</v>
      </c>
      <c r="I34" s="1" t="s">
        <v>23</v>
      </c>
      <c r="J34" s="1"/>
      <c r="K34" s="6"/>
      <c r="M34" s="1"/>
    </row>
    <row r="35" spans="1:13" ht="15.75" customHeight="1" x14ac:dyDescent="0.25">
      <c r="A35" s="1" t="s">
        <v>16</v>
      </c>
      <c r="B35" s="1">
        <v>45440</v>
      </c>
      <c r="C35" s="1">
        <v>34.69</v>
      </c>
      <c r="D35" s="1">
        <f t="shared" si="0"/>
        <v>4.8099999999999987</v>
      </c>
      <c r="E35" s="1">
        <f t="shared" si="1"/>
        <v>16.097724230254357</v>
      </c>
      <c r="F35" s="1">
        <v>10</v>
      </c>
      <c r="G35" s="1">
        <v>2</v>
      </c>
      <c r="H35" s="1">
        <v>24.491760000000003</v>
      </c>
      <c r="I35" s="1" t="s">
        <v>23</v>
      </c>
      <c r="J35" s="1"/>
      <c r="K35" s="6"/>
      <c r="M35" s="1"/>
    </row>
    <row r="36" spans="1:13" ht="15.75" customHeight="1" x14ac:dyDescent="0.25">
      <c r="A36" s="1" t="s">
        <v>17</v>
      </c>
      <c r="B36" s="1">
        <v>45440</v>
      </c>
      <c r="C36" s="1">
        <v>33.229999999999997</v>
      </c>
      <c r="D36" s="1">
        <f t="shared" si="0"/>
        <v>3.4699999999999953</v>
      </c>
      <c r="E36" s="1">
        <f t="shared" si="1"/>
        <v>11.659946236559122</v>
      </c>
      <c r="F36" s="1">
        <v>10</v>
      </c>
      <c r="G36" s="1">
        <v>2</v>
      </c>
      <c r="H36" s="1">
        <v>23.5276</v>
      </c>
      <c r="I36" s="1" t="s">
        <v>23</v>
      </c>
      <c r="J36" s="1"/>
      <c r="K36" s="6"/>
      <c r="M36" s="1"/>
    </row>
    <row r="37" spans="1:13" ht="15.75" customHeight="1" x14ac:dyDescent="0.25">
      <c r="A37" s="1" t="s">
        <v>18</v>
      </c>
      <c r="B37" s="1">
        <v>45440</v>
      </c>
      <c r="C37" s="1">
        <v>29.84</v>
      </c>
      <c r="D37" s="1">
        <f t="shared" si="0"/>
        <v>2.5100000000000016</v>
      </c>
      <c r="E37" s="1">
        <f t="shared" si="1"/>
        <v>9.1840468349798812</v>
      </c>
      <c r="F37" s="1">
        <v>10</v>
      </c>
      <c r="G37" s="1">
        <v>2</v>
      </c>
      <c r="H37" s="1">
        <v>25.099599999999999</v>
      </c>
      <c r="I37" s="1" t="s">
        <v>23</v>
      </c>
      <c r="J37" s="1"/>
      <c r="K37" s="6"/>
      <c r="M37" s="1"/>
    </row>
    <row r="38" spans="1:13" ht="15.75" customHeight="1" x14ac:dyDescent="0.25">
      <c r="A38" s="1" t="s">
        <v>19</v>
      </c>
      <c r="B38" s="1">
        <v>45440</v>
      </c>
      <c r="C38" s="1">
        <v>27.22</v>
      </c>
      <c r="D38" s="1">
        <f t="shared" si="0"/>
        <v>1.9299999999999997</v>
      </c>
      <c r="E38" s="1">
        <f t="shared" si="1"/>
        <v>7.6314748912613766</v>
      </c>
      <c r="F38" s="1">
        <v>10</v>
      </c>
      <c r="G38" s="1">
        <v>2</v>
      </c>
      <c r="H38" s="1">
        <v>18.203759999999999</v>
      </c>
      <c r="I38" s="1" t="s">
        <v>23</v>
      </c>
      <c r="J38" s="1"/>
      <c r="K38" s="6"/>
      <c r="M38" s="1"/>
    </row>
    <row r="39" spans="1:13" ht="15.75" customHeight="1" x14ac:dyDescent="0.25">
      <c r="A39" s="1" t="s">
        <v>20</v>
      </c>
      <c r="B39" s="1">
        <v>45440</v>
      </c>
      <c r="C39" s="1">
        <v>27.78</v>
      </c>
      <c r="D39" s="1">
        <f t="shared" si="0"/>
        <v>2.3900000000000006</v>
      </c>
      <c r="E39" s="1">
        <f t="shared" si="1"/>
        <v>9.4131547853485671</v>
      </c>
      <c r="F39" s="1">
        <v>10</v>
      </c>
      <c r="G39" s="1">
        <v>2</v>
      </c>
      <c r="H39" s="1">
        <v>17.669279999999997</v>
      </c>
      <c r="I39" s="1" t="s">
        <v>23</v>
      </c>
      <c r="J39" s="1"/>
      <c r="K39" s="6"/>
      <c r="M39" s="1"/>
    </row>
    <row r="40" spans="1:13" ht="15.75" customHeight="1" x14ac:dyDescent="0.25">
      <c r="A40" s="1" t="s">
        <v>21</v>
      </c>
      <c r="B40" s="1">
        <v>45440</v>
      </c>
      <c r="C40" s="1">
        <v>32.31</v>
      </c>
      <c r="D40" s="1">
        <f t="shared" si="0"/>
        <v>4.4200000000000017</v>
      </c>
      <c r="E40" s="1">
        <f t="shared" si="1"/>
        <v>15.847974184295438</v>
      </c>
      <c r="F40" s="1">
        <v>10</v>
      </c>
      <c r="G40" s="1">
        <v>2</v>
      </c>
      <c r="H40" s="1">
        <v>20.897120000000001</v>
      </c>
      <c r="I40" s="1" t="s">
        <v>23</v>
      </c>
      <c r="J40" s="1"/>
      <c r="K40" s="6"/>
      <c r="M40" s="1"/>
    </row>
    <row r="41" spans="1:13" ht="15.75" customHeight="1" x14ac:dyDescent="0.25">
      <c r="A41" s="1" t="s">
        <v>8</v>
      </c>
      <c r="B41" s="1">
        <v>45194</v>
      </c>
      <c r="C41" s="1">
        <v>30</v>
      </c>
      <c r="D41" s="1">
        <f>C41-C28</f>
        <v>-1.6700000000000017</v>
      </c>
      <c r="E41" s="1">
        <f>C41/C28*100-100</f>
        <v>-5.2731291443005972</v>
      </c>
      <c r="F41" s="1">
        <v>15</v>
      </c>
      <c r="G41" s="1">
        <v>3</v>
      </c>
      <c r="H41" s="1">
        <v>6.4032799999999996</v>
      </c>
      <c r="I41" s="1" t="s">
        <v>24</v>
      </c>
      <c r="J41" s="2"/>
      <c r="K41" s="6"/>
      <c r="M41" s="1"/>
    </row>
    <row r="42" spans="1:13" ht="15.75" customHeight="1" x14ac:dyDescent="0.25">
      <c r="A42" s="1" t="s">
        <v>10</v>
      </c>
      <c r="B42" s="1">
        <v>45194</v>
      </c>
      <c r="C42" s="1">
        <v>30.6</v>
      </c>
      <c r="D42" s="1">
        <f t="shared" ref="D42:D53" si="2">C42-C29</f>
        <v>0.2900000000000027</v>
      </c>
      <c r="E42" s="1">
        <f t="shared" si="1"/>
        <v>0.95677994061367144</v>
      </c>
      <c r="F42" s="1">
        <v>15</v>
      </c>
      <c r="G42" s="1">
        <v>3</v>
      </c>
      <c r="H42" s="1">
        <v>10.60576</v>
      </c>
      <c r="I42" s="1" t="s">
        <v>24</v>
      </c>
      <c r="J42" s="2"/>
      <c r="K42" s="6"/>
      <c r="M42" s="1"/>
    </row>
    <row r="43" spans="1:13" ht="15.75" customHeight="1" x14ac:dyDescent="0.25">
      <c r="A43" s="1" t="s">
        <v>11</v>
      </c>
      <c r="B43" s="1">
        <v>45194</v>
      </c>
      <c r="C43" s="1">
        <v>29.2</v>
      </c>
      <c r="D43" s="1">
        <f t="shared" si="2"/>
        <v>-2.16</v>
      </c>
      <c r="E43" s="1">
        <f t="shared" si="1"/>
        <v>-6.8877551020408134</v>
      </c>
      <c r="F43" s="1">
        <v>15</v>
      </c>
      <c r="G43" s="1">
        <v>3</v>
      </c>
      <c r="H43" s="1">
        <v>7.0320800000000006</v>
      </c>
      <c r="I43" s="1" t="s">
        <v>24</v>
      </c>
      <c r="J43" s="2"/>
      <c r="K43" s="6"/>
      <c r="M43" s="1"/>
    </row>
    <row r="44" spans="1:13" ht="15.75" customHeight="1" x14ac:dyDescent="0.25">
      <c r="A44" s="1" t="s">
        <v>12</v>
      </c>
      <c r="B44" s="1">
        <v>45445</v>
      </c>
      <c r="C44" s="1">
        <v>28.85</v>
      </c>
      <c r="D44" s="1">
        <f t="shared" si="2"/>
        <v>-2.7899999999999991</v>
      </c>
      <c r="E44" s="1">
        <f t="shared" si="1"/>
        <v>-8.8179519595448852</v>
      </c>
      <c r="F44" s="1">
        <v>15</v>
      </c>
      <c r="G44" s="1">
        <v>3</v>
      </c>
      <c r="H44" s="1">
        <v>6.7176799999999997</v>
      </c>
      <c r="I44" s="1" t="s">
        <v>24</v>
      </c>
      <c r="J44" s="2"/>
      <c r="K44" s="6"/>
      <c r="M44" s="1"/>
    </row>
    <row r="45" spans="1:13" ht="15.75" customHeight="1" x14ac:dyDescent="0.25">
      <c r="A45" s="1" t="s">
        <v>13</v>
      </c>
      <c r="B45" s="1">
        <v>45445</v>
      </c>
      <c r="C45" s="1">
        <v>29.43</v>
      </c>
      <c r="D45" s="1">
        <f t="shared" si="2"/>
        <v>-0.78000000000000114</v>
      </c>
      <c r="E45" s="1">
        <f t="shared" si="1"/>
        <v>-2.5819265143992141</v>
      </c>
      <c r="F45" s="1">
        <v>15</v>
      </c>
      <c r="G45" s="1">
        <v>3</v>
      </c>
      <c r="H45" s="1">
        <v>11.92624</v>
      </c>
      <c r="I45" s="1" t="s">
        <v>24</v>
      </c>
      <c r="J45" s="2"/>
      <c r="K45" s="6"/>
      <c r="M45" s="1"/>
    </row>
    <row r="46" spans="1:13" ht="15.75" customHeight="1" x14ac:dyDescent="0.25">
      <c r="A46" s="1" t="s">
        <v>14</v>
      </c>
      <c r="B46" s="1">
        <v>45445</v>
      </c>
      <c r="C46" s="1">
        <v>30.61</v>
      </c>
      <c r="D46" s="1">
        <f t="shared" si="2"/>
        <v>-1.370000000000001</v>
      </c>
      <c r="E46" s="1">
        <f t="shared" si="1"/>
        <v>-4.2839274546591639</v>
      </c>
      <c r="F46" s="1">
        <v>15</v>
      </c>
      <c r="G46" s="1">
        <v>3</v>
      </c>
      <c r="H46" s="1">
        <v>10.8468</v>
      </c>
      <c r="I46" s="1" t="s">
        <v>24</v>
      </c>
      <c r="J46" s="2"/>
      <c r="K46" s="6"/>
      <c r="M46" s="1"/>
    </row>
    <row r="47" spans="1:13" ht="15.75" customHeight="1" x14ac:dyDescent="0.25">
      <c r="A47" s="1" t="s">
        <v>15</v>
      </c>
      <c r="B47" s="1">
        <v>45445</v>
      </c>
      <c r="C47" s="1">
        <v>28.23</v>
      </c>
      <c r="D47" s="1">
        <f t="shared" si="2"/>
        <v>-1.009999999999998</v>
      </c>
      <c r="E47" s="1">
        <f t="shared" si="1"/>
        <v>-3.4541723666210515</v>
      </c>
      <c r="F47" s="1">
        <v>15</v>
      </c>
      <c r="G47" s="1">
        <v>3</v>
      </c>
      <c r="H47" s="1">
        <v>12.534079999999999</v>
      </c>
      <c r="I47" s="1" t="s">
        <v>24</v>
      </c>
      <c r="J47" s="2"/>
      <c r="K47" s="6"/>
      <c r="M47" s="1"/>
    </row>
    <row r="48" spans="1:13" ht="15.75" customHeight="1" x14ac:dyDescent="0.25">
      <c r="A48" s="1" t="s">
        <v>16</v>
      </c>
      <c r="B48" s="1">
        <v>45445</v>
      </c>
      <c r="C48" s="1">
        <v>33.85</v>
      </c>
      <c r="D48" s="1">
        <f t="shared" si="2"/>
        <v>-0.83999999999999631</v>
      </c>
      <c r="E48" s="1">
        <f t="shared" si="1"/>
        <v>-2.4214471029114861</v>
      </c>
      <c r="F48" s="1">
        <v>15</v>
      </c>
      <c r="G48" s="1">
        <v>3</v>
      </c>
      <c r="H48" s="1">
        <v>13.634480000000002</v>
      </c>
      <c r="I48" s="1" t="s">
        <v>24</v>
      </c>
      <c r="J48" s="2"/>
      <c r="K48" s="6"/>
      <c r="M48" s="1"/>
    </row>
    <row r="49" spans="1:13" ht="15.75" customHeight="1" x14ac:dyDescent="0.25">
      <c r="A49" s="1" t="s">
        <v>17</v>
      </c>
      <c r="B49" s="1">
        <v>45445</v>
      </c>
      <c r="C49" s="1">
        <v>32.700000000000003</v>
      </c>
      <c r="D49" s="1">
        <f t="shared" si="2"/>
        <v>-0.52999999999999403</v>
      </c>
      <c r="E49" s="1">
        <f t="shared" si="1"/>
        <v>-1.5949443274149644</v>
      </c>
      <c r="F49" s="1">
        <v>15</v>
      </c>
      <c r="G49" s="1">
        <v>3</v>
      </c>
      <c r="H49" s="1">
        <v>11.0564</v>
      </c>
      <c r="I49" s="1" t="s">
        <v>24</v>
      </c>
      <c r="J49" s="2"/>
      <c r="K49" s="6"/>
      <c r="M49" s="1"/>
    </row>
    <row r="50" spans="1:13" ht="15.75" customHeight="1" x14ac:dyDescent="0.25">
      <c r="A50" s="1" t="s">
        <v>18</v>
      </c>
      <c r="B50" s="1">
        <v>45445</v>
      </c>
      <c r="C50" s="1">
        <v>28.52</v>
      </c>
      <c r="D50" s="1">
        <f t="shared" si="2"/>
        <v>-1.3200000000000003</v>
      </c>
      <c r="E50" s="1">
        <f t="shared" si="1"/>
        <v>-4.4235924932975905</v>
      </c>
      <c r="F50" s="1">
        <v>15</v>
      </c>
      <c r="G50" s="1">
        <v>3</v>
      </c>
      <c r="H50" s="1">
        <v>10.09224</v>
      </c>
      <c r="I50" s="1" t="s">
        <v>24</v>
      </c>
      <c r="J50" s="2"/>
      <c r="K50" s="6"/>
      <c r="M50" s="1"/>
    </row>
    <row r="51" spans="1:13" ht="15.75" customHeight="1" x14ac:dyDescent="0.25">
      <c r="A51" s="1" t="s">
        <v>19</v>
      </c>
      <c r="B51" s="1">
        <v>45445</v>
      </c>
      <c r="C51" s="1">
        <v>25.78</v>
      </c>
      <c r="D51" s="1">
        <f t="shared" si="2"/>
        <v>-1.4399999999999977</v>
      </c>
      <c r="E51" s="1">
        <f t="shared" si="1"/>
        <v>-5.2902277736958041</v>
      </c>
      <c r="F51" s="1">
        <v>15</v>
      </c>
      <c r="G51" s="1">
        <v>3</v>
      </c>
      <c r="H51" s="1">
        <v>10.983039999999999</v>
      </c>
      <c r="I51" s="1" t="s">
        <v>24</v>
      </c>
      <c r="J51" s="2"/>
      <c r="K51" s="6"/>
      <c r="M51" s="1"/>
    </row>
    <row r="52" spans="1:13" ht="15.75" customHeight="1" x14ac:dyDescent="0.25">
      <c r="A52" s="1" t="s">
        <v>20</v>
      </c>
      <c r="B52" s="1">
        <v>45445</v>
      </c>
      <c r="C52" s="1">
        <v>25.98</v>
      </c>
      <c r="D52" s="1">
        <f t="shared" si="2"/>
        <v>-1.8000000000000007</v>
      </c>
      <c r="E52" s="1">
        <f t="shared" si="1"/>
        <v>-6.4794816414686807</v>
      </c>
      <c r="F52" s="1">
        <v>15</v>
      </c>
      <c r="G52" s="1">
        <v>3</v>
      </c>
      <c r="H52" s="1">
        <v>9.0232799999999997</v>
      </c>
      <c r="I52" s="1" t="s">
        <v>24</v>
      </c>
      <c r="J52" s="2"/>
      <c r="K52" s="6"/>
      <c r="M52" s="1"/>
    </row>
    <row r="53" spans="1:13" ht="15.75" customHeight="1" x14ac:dyDescent="0.25">
      <c r="A53" s="1" t="s">
        <v>21</v>
      </c>
      <c r="B53" s="1">
        <v>45445</v>
      </c>
      <c r="C53" s="1">
        <v>29.3</v>
      </c>
      <c r="D53" s="1">
        <f t="shared" si="2"/>
        <v>-3.0100000000000016</v>
      </c>
      <c r="E53" s="1">
        <f t="shared" si="1"/>
        <v>-9.3160012380068054</v>
      </c>
      <c r="F53" s="1">
        <v>15</v>
      </c>
      <c r="G53" s="1">
        <v>3</v>
      </c>
      <c r="H53" s="1">
        <v>6.6967200000000009</v>
      </c>
      <c r="I53" s="1" t="s">
        <v>24</v>
      </c>
      <c r="J53" s="2"/>
      <c r="K53" s="6"/>
      <c r="M53" s="1"/>
    </row>
    <row r="54" spans="1:13" ht="15.75" customHeight="1" x14ac:dyDescent="0.25">
      <c r="A54" s="1" t="s">
        <v>8</v>
      </c>
      <c r="B54" s="1">
        <v>45199</v>
      </c>
      <c r="C54" s="1">
        <v>31.14</v>
      </c>
      <c r="D54" s="1">
        <f>C54-C41</f>
        <v>1.1400000000000006</v>
      </c>
      <c r="E54" s="1">
        <f>C54/C41*100-100</f>
        <v>3.7999999999999972</v>
      </c>
      <c r="F54" s="1">
        <v>20</v>
      </c>
      <c r="G54" s="1">
        <v>4</v>
      </c>
      <c r="H54" s="1">
        <v>15.73048</v>
      </c>
      <c r="I54" s="1" t="s">
        <v>23</v>
      </c>
      <c r="J54" s="2"/>
      <c r="K54" s="6"/>
      <c r="M54" s="1"/>
    </row>
    <row r="55" spans="1:13" ht="15.75" customHeight="1" x14ac:dyDescent="0.25">
      <c r="A55" s="1" t="s">
        <v>10</v>
      </c>
      <c r="B55" s="1">
        <v>45199</v>
      </c>
      <c r="C55" s="1">
        <v>31.02</v>
      </c>
      <c r="D55" s="1">
        <f t="shared" ref="D55:D66" si="3">C55-C42</f>
        <v>0.41999999999999815</v>
      </c>
      <c r="E55" s="1">
        <f t="shared" si="1"/>
        <v>1.3725490196078454</v>
      </c>
      <c r="F55" s="1">
        <v>20</v>
      </c>
      <c r="G55" s="1">
        <v>4</v>
      </c>
      <c r="H55" s="1">
        <v>12.659839999999999</v>
      </c>
      <c r="I55" s="1" t="s">
        <v>23</v>
      </c>
      <c r="J55" s="2"/>
      <c r="K55" s="6"/>
      <c r="M55" s="1"/>
    </row>
    <row r="56" spans="1:13" ht="15.75" customHeight="1" x14ac:dyDescent="0.25">
      <c r="A56" s="1" t="s">
        <v>11</v>
      </c>
      <c r="B56" s="1">
        <v>45199</v>
      </c>
      <c r="C56" s="1">
        <v>31.4</v>
      </c>
      <c r="D56" s="1">
        <f t="shared" si="3"/>
        <v>2.1999999999999993</v>
      </c>
      <c r="E56" s="1">
        <f t="shared" si="1"/>
        <v>7.534246575342479</v>
      </c>
      <c r="F56" s="1">
        <v>20</v>
      </c>
      <c r="G56" s="1">
        <v>4</v>
      </c>
      <c r="H56" s="1">
        <v>15.78288</v>
      </c>
      <c r="I56" s="1" t="s">
        <v>23</v>
      </c>
      <c r="J56" s="2"/>
      <c r="K56" s="6"/>
      <c r="M56" s="1"/>
    </row>
    <row r="57" spans="1:13" ht="15.75" customHeight="1" x14ac:dyDescent="0.25">
      <c r="A57" s="1" t="s">
        <v>12</v>
      </c>
      <c r="B57" s="1">
        <v>45450</v>
      </c>
      <c r="C57" s="1">
        <v>33.840000000000003</v>
      </c>
      <c r="D57" s="1">
        <f t="shared" si="3"/>
        <v>4.990000000000002</v>
      </c>
      <c r="E57" s="1">
        <f t="shared" si="1"/>
        <v>17.296360485268636</v>
      </c>
      <c r="F57" s="1">
        <v>20</v>
      </c>
      <c r="G57" s="1">
        <v>4</v>
      </c>
      <c r="H57" s="1">
        <v>24.795680000000001</v>
      </c>
      <c r="I57" s="1" t="s">
        <v>23</v>
      </c>
      <c r="J57" s="2"/>
      <c r="K57" s="6"/>
      <c r="M57" s="1"/>
    </row>
    <row r="58" spans="1:13" ht="15.75" customHeight="1" x14ac:dyDescent="0.25">
      <c r="A58" s="1" t="s">
        <v>13</v>
      </c>
      <c r="B58" s="1">
        <v>45450</v>
      </c>
      <c r="C58" s="1">
        <v>33.020000000000003</v>
      </c>
      <c r="D58" s="1">
        <f t="shared" si="3"/>
        <v>3.5900000000000034</v>
      </c>
      <c r="E58" s="1">
        <f t="shared" si="1"/>
        <v>12.198436969079182</v>
      </c>
      <c r="F58" s="1">
        <v>20</v>
      </c>
      <c r="G58" s="1">
        <v>4</v>
      </c>
      <c r="H58" s="1">
        <v>18.360960000000002</v>
      </c>
      <c r="I58" s="1" t="s">
        <v>23</v>
      </c>
      <c r="J58" s="2"/>
      <c r="K58" s="6"/>
      <c r="M58" s="1"/>
    </row>
    <row r="59" spans="1:13" ht="15.75" customHeight="1" x14ac:dyDescent="0.25">
      <c r="A59" s="1" t="s">
        <v>14</v>
      </c>
      <c r="B59" s="1">
        <v>45450</v>
      </c>
      <c r="C59" s="1">
        <v>34.74</v>
      </c>
      <c r="D59" s="1">
        <f t="shared" si="3"/>
        <v>4.1300000000000026</v>
      </c>
      <c r="E59" s="1">
        <f t="shared" si="1"/>
        <v>13.4923227703365</v>
      </c>
      <c r="F59" s="1">
        <v>20</v>
      </c>
      <c r="G59" s="1">
        <v>4</v>
      </c>
      <c r="H59" s="1">
        <v>19.670959999999997</v>
      </c>
      <c r="I59" s="1" t="s">
        <v>23</v>
      </c>
      <c r="J59" s="2"/>
      <c r="K59" s="6"/>
      <c r="M59" s="1"/>
    </row>
    <row r="60" spans="1:13" ht="15.75" customHeight="1" x14ac:dyDescent="0.25">
      <c r="A60" s="1" t="s">
        <v>15</v>
      </c>
      <c r="B60" s="1">
        <v>45450</v>
      </c>
      <c r="C60" s="1">
        <v>29.59</v>
      </c>
      <c r="D60" s="1">
        <f t="shared" si="3"/>
        <v>1.3599999999999994</v>
      </c>
      <c r="E60" s="1">
        <f t="shared" si="1"/>
        <v>4.8175699610343514</v>
      </c>
      <c r="F60" s="1">
        <v>20</v>
      </c>
      <c r="G60" s="1">
        <v>4</v>
      </c>
      <c r="H60" s="1">
        <v>12.450239999999999</v>
      </c>
      <c r="I60" s="1" t="s">
        <v>23</v>
      </c>
      <c r="J60" s="2"/>
      <c r="K60" s="6"/>
      <c r="M60" s="1"/>
    </row>
    <row r="61" spans="1:13" ht="15.75" customHeight="1" x14ac:dyDescent="0.25">
      <c r="A61" s="1" t="s">
        <v>16</v>
      </c>
      <c r="B61" s="1">
        <v>45450</v>
      </c>
      <c r="C61" s="1">
        <v>38.270000000000003</v>
      </c>
      <c r="D61" s="1">
        <f t="shared" si="3"/>
        <v>4.4200000000000017</v>
      </c>
      <c r="E61" s="1">
        <f t="shared" si="1"/>
        <v>13.057607090103403</v>
      </c>
      <c r="F61" s="1">
        <v>20</v>
      </c>
      <c r="G61" s="1">
        <v>4</v>
      </c>
      <c r="H61" s="1">
        <v>22.01848</v>
      </c>
      <c r="I61" s="1" t="s">
        <v>23</v>
      </c>
      <c r="J61" s="2"/>
      <c r="K61" s="6"/>
      <c r="M61" s="1"/>
    </row>
    <row r="62" spans="1:13" ht="15.75" customHeight="1" x14ac:dyDescent="0.25">
      <c r="A62" s="1" t="s">
        <v>17</v>
      </c>
      <c r="B62" s="1">
        <v>45450</v>
      </c>
      <c r="C62" s="1">
        <v>36.32</v>
      </c>
      <c r="D62" s="1">
        <f t="shared" si="3"/>
        <v>3.6199999999999974</v>
      </c>
      <c r="E62" s="1">
        <f t="shared" si="1"/>
        <v>11.070336391437309</v>
      </c>
      <c r="F62" s="1">
        <v>20</v>
      </c>
      <c r="G62" s="1">
        <v>4</v>
      </c>
      <c r="H62" s="1">
        <v>21.651679999999999</v>
      </c>
      <c r="I62" s="1" t="s">
        <v>23</v>
      </c>
      <c r="J62" s="2"/>
      <c r="K62" s="6"/>
      <c r="M62" s="1"/>
    </row>
    <row r="63" spans="1:13" ht="15.75" customHeight="1" x14ac:dyDescent="0.25">
      <c r="A63" s="1" t="s">
        <v>18</v>
      </c>
      <c r="B63" s="1">
        <v>45450</v>
      </c>
      <c r="C63" s="1">
        <v>32.35</v>
      </c>
      <c r="D63" s="1">
        <f t="shared" si="3"/>
        <v>3.8300000000000018</v>
      </c>
      <c r="E63" s="1">
        <f t="shared" si="1"/>
        <v>13.429172510518939</v>
      </c>
      <c r="F63" s="1">
        <v>20</v>
      </c>
      <c r="G63" s="1">
        <v>4</v>
      </c>
      <c r="H63" s="1">
        <v>20.593200000000003</v>
      </c>
      <c r="I63" s="1" t="s">
        <v>23</v>
      </c>
      <c r="J63" s="2"/>
      <c r="K63" s="6"/>
      <c r="M63" s="1"/>
    </row>
    <row r="64" spans="1:13" ht="15.75" customHeight="1" x14ac:dyDescent="0.25">
      <c r="A64" s="1" t="s">
        <v>19</v>
      </c>
      <c r="B64" s="1">
        <v>45450</v>
      </c>
      <c r="C64" s="1">
        <v>27.48</v>
      </c>
      <c r="D64" s="1">
        <f t="shared" si="3"/>
        <v>1.6999999999999993</v>
      </c>
      <c r="E64" s="1">
        <f t="shared" si="1"/>
        <v>6.5942591155934878</v>
      </c>
      <c r="F64" s="1">
        <v>20</v>
      </c>
      <c r="G64" s="1">
        <v>4</v>
      </c>
      <c r="H64" s="1">
        <v>15.0388</v>
      </c>
      <c r="I64" s="1" t="s">
        <v>23</v>
      </c>
      <c r="J64" s="2"/>
      <c r="K64" s="6"/>
      <c r="M64" s="1"/>
    </row>
    <row r="65" spans="1:13" ht="15.75" customHeight="1" x14ac:dyDescent="0.25">
      <c r="A65" s="1" t="s">
        <v>20</v>
      </c>
      <c r="B65" s="1">
        <v>45450</v>
      </c>
      <c r="C65" s="1">
        <v>28.19</v>
      </c>
      <c r="D65" s="1">
        <f t="shared" si="3"/>
        <v>2.2100000000000009</v>
      </c>
      <c r="E65" s="1">
        <f t="shared" si="1"/>
        <v>8.5065434949961514</v>
      </c>
      <c r="F65" s="1">
        <v>20</v>
      </c>
      <c r="G65" s="1">
        <v>4</v>
      </c>
      <c r="H65" s="1">
        <v>15.57328</v>
      </c>
      <c r="I65" s="1" t="s">
        <v>23</v>
      </c>
      <c r="J65" s="2"/>
      <c r="K65" s="6"/>
      <c r="M65" s="1"/>
    </row>
    <row r="66" spans="1:13" ht="15.75" customHeight="1" x14ac:dyDescent="0.25">
      <c r="A66" s="1" t="s">
        <v>21</v>
      </c>
      <c r="B66" s="1">
        <v>45450</v>
      </c>
      <c r="C66" s="1">
        <v>33.53</v>
      </c>
      <c r="D66" s="1">
        <f t="shared" si="3"/>
        <v>4.2300000000000004</v>
      </c>
      <c r="E66" s="1">
        <f t="shared" si="1"/>
        <v>14.436860068259392</v>
      </c>
      <c r="F66" s="1">
        <v>20</v>
      </c>
      <c r="G66" s="1">
        <v>4</v>
      </c>
      <c r="H66" s="1">
        <v>19.691920000000003</v>
      </c>
      <c r="I66" s="1" t="s">
        <v>23</v>
      </c>
      <c r="J66" s="2"/>
      <c r="K66" s="6"/>
      <c r="M66" s="1"/>
    </row>
    <row r="67" spans="1:13" ht="15.75" customHeight="1" x14ac:dyDescent="0.25">
      <c r="A67" s="1" t="s">
        <v>8</v>
      </c>
      <c r="B67" s="1">
        <v>45204</v>
      </c>
      <c r="C67" s="1">
        <v>30.45</v>
      </c>
      <c r="D67" s="1">
        <f>C67-C54</f>
        <v>-0.69000000000000128</v>
      </c>
      <c r="E67" s="1">
        <f>C67/C54*100-100</f>
        <v>-2.2157996146435579</v>
      </c>
      <c r="F67" s="1">
        <v>25</v>
      </c>
      <c r="G67" s="1">
        <v>5</v>
      </c>
      <c r="H67" s="1">
        <v>11.486079999999999</v>
      </c>
      <c r="I67" s="1" t="s">
        <v>24</v>
      </c>
      <c r="J67" s="2"/>
      <c r="K67" s="6"/>
      <c r="M67" s="1"/>
    </row>
    <row r="68" spans="1:13" ht="15.75" customHeight="1" x14ac:dyDescent="0.25">
      <c r="A68" s="1" t="s">
        <v>10</v>
      </c>
      <c r="B68" s="1">
        <v>45204</v>
      </c>
      <c r="C68" s="1">
        <v>30.04</v>
      </c>
      <c r="D68" s="1">
        <f t="shared" ref="D68:D79" si="4">C68-C55</f>
        <v>-0.98000000000000043</v>
      </c>
      <c r="E68" s="1">
        <f t="shared" si="1"/>
        <v>-3.1592520954223033</v>
      </c>
      <c r="F68" s="1">
        <v>25</v>
      </c>
      <c r="G68" s="1">
        <v>5</v>
      </c>
      <c r="H68" s="1">
        <v>11.884320000000001</v>
      </c>
      <c r="I68" s="1" t="s">
        <v>24</v>
      </c>
      <c r="J68" s="2"/>
      <c r="K68" s="6"/>
      <c r="M68" s="1"/>
    </row>
    <row r="69" spans="1:13" ht="15.75" customHeight="1" x14ac:dyDescent="0.25">
      <c r="A69" s="1" t="s">
        <v>11</v>
      </c>
      <c r="B69" s="1">
        <v>45204</v>
      </c>
      <c r="C69" s="1">
        <v>29.74</v>
      </c>
      <c r="D69" s="1">
        <f t="shared" si="4"/>
        <v>-1.6600000000000001</v>
      </c>
      <c r="E69" s="1">
        <f t="shared" si="1"/>
        <v>-5.2866242038216598</v>
      </c>
      <c r="F69" s="1">
        <v>25</v>
      </c>
      <c r="G69" s="1">
        <v>5</v>
      </c>
      <c r="H69" s="1">
        <v>10.155120000000002</v>
      </c>
      <c r="I69" s="1" t="s">
        <v>24</v>
      </c>
      <c r="J69" s="2"/>
      <c r="K69" s="6"/>
      <c r="M69" s="1"/>
    </row>
    <row r="70" spans="1:13" ht="15.75" customHeight="1" x14ac:dyDescent="0.25">
      <c r="A70" s="1" t="s">
        <v>12</v>
      </c>
      <c r="B70" s="1">
        <v>45455</v>
      </c>
      <c r="C70" s="1">
        <v>31.56</v>
      </c>
      <c r="D70" s="1">
        <f t="shared" si="4"/>
        <v>-2.2800000000000047</v>
      </c>
      <c r="E70" s="1">
        <f t="shared" si="1"/>
        <v>-6.7375886524822874</v>
      </c>
      <c r="F70" s="1">
        <v>25</v>
      </c>
      <c r="G70" s="1">
        <v>5</v>
      </c>
      <c r="H70" s="1">
        <v>5.9945599999999999</v>
      </c>
      <c r="I70" s="1" t="s">
        <v>24</v>
      </c>
      <c r="J70" s="2"/>
      <c r="K70" s="6"/>
      <c r="M70" s="1"/>
    </row>
    <row r="71" spans="1:13" ht="15.75" customHeight="1" x14ac:dyDescent="0.25">
      <c r="A71" s="1" t="s">
        <v>13</v>
      </c>
      <c r="B71" s="1">
        <v>45455</v>
      </c>
      <c r="C71" s="1">
        <v>32.75</v>
      </c>
      <c r="D71" s="1">
        <f t="shared" si="4"/>
        <v>-0.27000000000000313</v>
      </c>
      <c r="E71" s="1">
        <f t="shared" si="1"/>
        <v>-0.81768625075712009</v>
      </c>
      <c r="F71" s="1">
        <v>25</v>
      </c>
      <c r="G71" s="1">
        <v>5</v>
      </c>
      <c r="H71" s="1">
        <v>11.23456</v>
      </c>
      <c r="I71" s="1" t="s">
        <v>24</v>
      </c>
    </row>
    <row r="72" spans="1:13" ht="15.75" customHeight="1" x14ac:dyDescent="0.25">
      <c r="A72" s="1" t="s">
        <v>14</v>
      </c>
      <c r="B72" s="1">
        <v>45455</v>
      </c>
      <c r="C72" s="1">
        <v>33.54</v>
      </c>
      <c r="D72" s="1">
        <f t="shared" si="4"/>
        <v>-1.2000000000000028</v>
      </c>
      <c r="E72" s="1">
        <f t="shared" si="1"/>
        <v>-3.4542314335060524</v>
      </c>
      <c r="F72" s="1">
        <v>25</v>
      </c>
      <c r="G72" s="1">
        <v>5</v>
      </c>
      <c r="H72" s="1">
        <v>11.643280000000001</v>
      </c>
      <c r="I72" s="1" t="s">
        <v>24</v>
      </c>
    </row>
    <row r="73" spans="1:13" ht="15.75" customHeight="1" x14ac:dyDescent="0.25">
      <c r="A73" s="1" t="s">
        <v>15</v>
      </c>
      <c r="B73" s="1">
        <v>45455</v>
      </c>
      <c r="C73" s="1">
        <v>29.97</v>
      </c>
      <c r="D73" s="1">
        <f t="shared" si="4"/>
        <v>0.37999999999999901</v>
      </c>
      <c r="E73" s="1">
        <f t="shared" si="1"/>
        <v>1.2842176410949691</v>
      </c>
      <c r="F73" s="1">
        <v>25</v>
      </c>
      <c r="G73" s="1">
        <v>5</v>
      </c>
      <c r="H73" s="1">
        <v>12.900880000000001</v>
      </c>
      <c r="I73" s="1" t="s">
        <v>24</v>
      </c>
    </row>
    <row r="74" spans="1:13" ht="15.75" customHeight="1" x14ac:dyDescent="0.25">
      <c r="A74" s="1" t="s">
        <v>16</v>
      </c>
      <c r="B74" s="1">
        <v>45455</v>
      </c>
      <c r="C74" s="1">
        <v>37.020000000000003</v>
      </c>
      <c r="D74" s="1">
        <f t="shared" si="4"/>
        <v>-1.25</v>
      </c>
      <c r="E74" s="1">
        <f t="shared" si="1"/>
        <v>-3.2662660047034251</v>
      </c>
      <c r="F74" s="1">
        <v>25</v>
      </c>
      <c r="G74" s="1">
        <v>5</v>
      </c>
      <c r="H74" s="1">
        <v>13.204800000000001</v>
      </c>
      <c r="I74" s="1" t="s">
        <v>24</v>
      </c>
    </row>
    <row r="75" spans="1:13" ht="15.75" customHeight="1" x14ac:dyDescent="0.25">
      <c r="A75" s="1" t="s">
        <v>17</v>
      </c>
      <c r="B75" s="1">
        <v>45455</v>
      </c>
      <c r="C75" s="1">
        <v>37.29</v>
      </c>
      <c r="D75" s="1">
        <f t="shared" si="4"/>
        <v>0.96999999999999886</v>
      </c>
      <c r="E75" s="1">
        <f t="shared" si="1"/>
        <v>2.6707048458149814</v>
      </c>
      <c r="F75" s="1">
        <v>25</v>
      </c>
      <c r="G75" s="1">
        <v>5</v>
      </c>
      <c r="H75" s="1">
        <v>17.669280000000001</v>
      </c>
      <c r="I75" s="1" t="s">
        <v>24</v>
      </c>
    </row>
    <row r="76" spans="1:13" ht="15.75" customHeight="1" x14ac:dyDescent="0.25">
      <c r="A76" s="1" t="s">
        <v>18</v>
      </c>
      <c r="B76" s="1">
        <v>45455</v>
      </c>
      <c r="C76" s="1">
        <v>31.11</v>
      </c>
      <c r="D76" s="1">
        <f t="shared" si="4"/>
        <v>-1.240000000000002</v>
      </c>
      <c r="E76" s="1">
        <f t="shared" si="1"/>
        <v>-3.83307573415766</v>
      </c>
      <c r="F76" s="1">
        <v>25</v>
      </c>
      <c r="G76" s="1">
        <v>5</v>
      </c>
      <c r="H76" s="1">
        <v>10.846799999999998</v>
      </c>
      <c r="I76" s="1" t="s">
        <v>24</v>
      </c>
    </row>
    <row r="77" spans="1:13" ht="15.75" customHeight="1" x14ac:dyDescent="0.25">
      <c r="A77" s="1" t="s">
        <v>19</v>
      </c>
      <c r="B77" s="1">
        <v>45455</v>
      </c>
      <c r="C77" s="1">
        <v>27.45</v>
      </c>
      <c r="D77" s="1">
        <f t="shared" si="4"/>
        <v>-3.0000000000001137E-2</v>
      </c>
      <c r="E77" s="1">
        <f t="shared" si="1"/>
        <v>-0.10917030567686936</v>
      </c>
      <c r="F77" s="1">
        <v>25</v>
      </c>
      <c r="G77" s="1">
        <v>5</v>
      </c>
      <c r="H77" s="1">
        <v>13.969840000000001</v>
      </c>
      <c r="I77" s="1" t="s">
        <v>24</v>
      </c>
    </row>
    <row r="78" spans="1:13" ht="15.75" customHeight="1" x14ac:dyDescent="0.25">
      <c r="A78" s="1" t="s">
        <v>20</v>
      </c>
      <c r="B78" s="1">
        <v>45455</v>
      </c>
      <c r="C78" s="1">
        <v>29.17</v>
      </c>
      <c r="D78" s="1">
        <f t="shared" si="4"/>
        <v>0.98000000000000043</v>
      </c>
      <c r="E78" s="1">
        <f t="shared" si="1"/>
        <v>3.4764100744945097</v>
      </c>
      <c r="F78" s="1">
        <v>25</v>
      </c>
      <c r="G78" s="1">
        <v>5</v>
      </c>
      <c r="H78" s="1">
        <v>13.760240000000001</v>
      </c>
      <c r="I78" s="1" t="s">
        <v>24</v>
      </c>
    </row>
    <row r="79" spans="1:13" ht="15.75" customHeight="1" x14ac:dyDescent="0.25">
      <c r="A79" s="1" t="s">
        <v>21</v>
      </c>
      <c r="B79" s="1">
        <v>45455</v>
      </c>
      <c r="C79" s="1">
        <v>32.299999999999997</v>
      </c>
      <c r="D79" s="1">
        <f t="shared" si="4"/>
        <v>-1.230000000000004</v>
      </c>
      <c r="E79" s="1">
        <f t="shared" si="1"/>
        <v>-3.6683566954965841</v>
      </c>
      <c r="F79" s="1">
        <v>25</v>
      </c>
      <c r="G79" s="1">
        <v>5</v>
      </c>
      <c r="H79" s="1">
        <v>13.74976</v>
      </c>
      <c r="I79" s="1" t="s">
        <v>24</v>
      </c>
    </row>
    <row r="80" spans="1:13" ht="15.75" customHeight="1" x14ac:dyDescent="0.25">
      <c r="A80" s="1" t="s">
        <v>8</v>
      </c>
      <c r="B80" s="1">
        <v>45209</v>
      </c>
      <c r="C80" s="1">
        <v>32.58</v>
      </c>
      <c r="D80" s="1">
        <f>C80-C67</f>
        <v>2.129999999999999</v>
      </c>
      <c r="E80" s="1">
        <f>C80/C67*100-100</f>
        <v>6.9950738916256086</v>
      </c>
      <c r="F80" s="1">
        <v>30</v>
      </c>
      <c r="G80" s="1">
        <v>6</v>
      </c>
      <c r="H80" s="1">
        <v>17.40728</v>
      </c>
      <c r="I80" s="1" t="s">
        <v>23</v>
      </c>
    </row>
    <row r="81" spans="1:9" ht="15.75" customHeight="1" x14ac:dyDescent="0.25">
      <c r="A81" s="1" t="s">
        <v>10</v>
      </c>
      <c r="B81" s="1">
        <v>45209</v>
      </c>
      <c r="C81" s="1">
        <v>31.24</v>
      </c>
      <c r="D81" s="1">
        <f t="shared" ref="D81:D92" si="5">C81-C68</f>
        <v>1.1999999999999993</v>
      </c>
      <c r="E81" s="1">
        <f t="shared" si="1"/>
        <v>3.994673768308914</v>
      </c>
      <c r="F81" s="1">
        <v>30</v>
      </c>
      <c r="G81" s="1">
        <v>6</v>
      </c>
      <c r="H81" s="1">
        <v>12.34544</v>
      </c>
      <c r="I81" s="1" t="s">
        <v>23</v>
      </c>
    </row>
    <row r="82" spans="1:9" ht="15.75" customHeight="1" x14ac:dyDescent="0.25">
      <c r="A82" s="1" t="s">
        <v>11</v>
      </c>
      <c r="B82" s="1">
        <v>45209</v>
      </c>
      <c r="C82" s="1">
        <v>31.86</v>
      </c>
      <c r="D82" s="1">
        <f t="shared" si="5"/>
        <v>2.120000000000001</v>
      </c>
      <c r="E82" s="1">
        <f t="shared" si="1"/>
        <v>7.1284465366509835</v>
      </c>
      <c r="F82" s="1">
        <v>30</v>
      </c>
      <c r="G82" s="1">
        <v>6</v>
      </c>
      <c r="H82" s="1">
        <v>15.269360000000001</v>
      </c>
      <c r="I82" s="1" t="s">
        <v>23</v>
      </c>
    </row>
    <row r="83" spans="1:9" ht="15.75" customHeight="1" x14ac:dyDescent="0.25">
      <c r="A83" s="1" t="s">
        <v>12</v>
      </c>
      <c r="B83" s="1">
        <v>45460</v>
      </c>
      <c r="C83" s="1">
        <v>35.6</v>
      </c>
      <c r="D83" s="1">
        <f t="shared" si="5"/>
        <v>4.0400000000000027</v>
      </c>
      <c r="E83" s="1">
        <f t="shared" si="1"/>
        <v>12.801013941698372</v>
      </c>
      <c r="F83" s="1">
        <v>30</v>
      </c>
      <c r="G83" s="1">
        <v>6</v>
      </c>
      <c r="H83" s="1">
        <v>19.47184</v>
      </c>
      <c r="I83" s="1" t="s">
        <v>23</v>
      </c>
    </row>
    <row r="84" spans="1:9" ht="15.75" customHeight="1" x14ac:dyDescent="0.25">
      <c r="A84" s="1" t="s">
        <v>13</v>
      </c>
      <c r="B84" s="1">
        <v>45460</v>
      </c>
      <c r="C84" s="1">
        <v>34.35</v>
      </c>
      <c r="D84" s="1">
        <f t="shared" si="5"/>
        <v>1.6000000000000014</v>
      </c>
      <c r="E84" s="1">
        <f t="shared" si="1"/>
        <v>4.8854961832061008</v>
      </c>
      <c r="F84" s="1">
        <v>30</v>
      </c>
      <c r="G84" s="1">
        <v>6</v>
      </c>
      <c r="H84" s="1">
        <v>13.707839999999999</v>
      </c>
      <c r="I84" s="1" t="s">
        <v>23</v>
      </c>
    </row>
    <row r="85" spans="1:9" ht="15.75" customHeight="1" x14ac:dyDescent="0.25">
      <c r="A85" s="1" t="s">
        <v>14</v>
      </c>
      <c r="B85" s="1">
        <v>45460</v>
      </c>
      <c r="C85" s="1">
        <v>36.11</v>
      </c>
      <c r="D85" s="1">
        <f t="shared" si="5"/>
        <v>2.5700000000000003</v>
      </c>
      <c r="E85" s="1">
        <f t="shared" si="1"/>
        <v>7.6624925462134712</v>
      </c>
      <c r="F85" s="1">
        <v>30</v>
      </c>
      <c r="G85" s="1">
        <v>6</v>
      </c>
      <c r="H85" s="1">
        <v>19.14696</v>
      </c>
      <c r="I85" s="1" t="s">
        <v>23</v>
      </c>
    </row>
    <row r="86" spans="1:9" ht="15.75" customHeight="1" x14ac:dyDescent="0.25">
      <c r="A86" s="1" t="s">
        <v>15</v>
      </c>
      <c r="B86" s="1">
        <v>45460</v>
      </c>
      <c r="C86" s="1">
        <v>32.119999999999997</v>
      </c>
      <c r="D86" s="1">
        <f t="shared" si="5"/>
        <v>2.1499999999999986</v>
      </c>
      <c r="E86" s="1">
        <f t="shared" si="1"/>
        <v>7.1738405071738498</v>
      </c>
      <c r="F86" s="1">
        <v>30</v>
      </c>
      <c r="G86" s="1">
        <v>6</v>
      </c>
      <c r="H86" s="1">
        <v>18.82208</v>
      </c>
      <c r="I86" s="1" t="s">
        <v>23</v>
      </c>
    </row>
    <row r="87" spans="1:9" ht="15.75" customHeight="1" x14ac:dyDescent="0.25">
      <c r="A87" s="1" t="s">
        <v>16</v>
      </c>
      <c r="B87" s="1">
        <v>45460</v>
      </c>
      <c r="C87" s="1">
        <v>39.74</v>
      </c>
      <c r="D87" s="1">
        <f t="shared" si="5"/>
        <v>2.7199999999999989</v>
      </c>
      <c r="E87" s="1">
        <f t="shared" si="1"/>
        <v>7.3473797947055601</v>
      </c>
      <c r="F87" s="1">
        <v>30</v>
      </c>
      <c r="G87" s="1">
        <v>6</v>
      </c>
      <c r="H87" s="1">
        <v>17.847439999999999</v>
      </c>
      <c r="I87" s="1" t="s">
        <v>23</v>
      </c>
    </row>
    <row r="88" spans="1:9" ht="15.75" customHeight="1" x14ac:dyDescent="0.25">
      <c r="A88" s="1" t="s">
        <v>17</v>
      </c>
      <c r="B88" s="1">
        <v>45460</v>
      </c>
      <c r="C88" s="1">
        <v>40.33</v>
      </c>
      <c r="D88" s="1">
        <f t="shared" si="5"/>
        <v>3.0399999999999991</v>
      </c>
      <c r="E88" s="1">
        <f t="shared" si="1"/>
        <v>8.1523196567444387</v>
      </c>
      <c r="F88" s="1">
        <v>30</v>
      </c>
      <c r="G88" s="1">
        <v>6</v>
      </c>
      <c r="H88" s="1">
        <v>19.597600000000003</v>
      </c>
      <c r="I88" s="1" t="s">
        <v>23</v>
      </c>
    </row>
    <row r="89" spans="1:9" ht="15.75" customHeight="1" x14ac:dyDescent="0.25">
      <c r="A89" s="1" t="s">
        <v>18</v>
      </c>
      <c r="B89" s="1">
        <v>45460</v>
      </c>
      <c r="C89" s="1">
        <v>34.340000000000003</v>
      </c>
      <c r="D89" s="1">
        <f t="shared" si="5"/>
        <v>3.230000000000004</v>
      </c>
      <c r="E89" s="1">
        <f t="shared" si="1"/>
        <v>10.382513661202196</v>
      </c>
      <c r="F89" s="1">
        <v>30</v>
      </c>
      <c r="G89" s="1">
        <v>6</v>
      </c>
      <c r="H89" s="1">
        <v>20.184480000000001</v>
      </c>
      <c r="I89" s="1" t="s">
        <v>23</v>
      </c>
    </row>
    <row r="90" spans="1:9" ht="15.75" customHeight="1" x14ac:dyDescent="0.25">
      <c r="A90" s="1" t="s">
        <v>19</v>
      </c>
      <c r="B90" s="1">
        <v>45460</v>
      </c>
      <c r="C90" s="1">
        <v>29.62</v>
      </c>
      <c r="D90" s="1">
        <f t="shared" si="5"/>
        <v>2.1700000000000017</v>
      </c>
      <c r="E90" s="1">
        <f t="shared" si="1"/>
        <v>7.9052823315118417</v>
      </c>
      <c r="F90" s="1">
        <v>30</v>
      </c>
      <c r="G90" s="1">
        <v>6</v>
      </c>
      <c r="H90" s="1">
        <v>16.820399999999999</v>
      </c>
      <c r="I90" s="1" t="s">
        <v>23</v>
      </c>
    </row>
    <row r="91" spans="1:9" ht="15.75" customHeight="1" x14ac:dyDescent="0.25">
      <c r="A91" s="1" t="s">
        <v>20</v>
      </c>
      <c r="B91" s="1">
        <v>45460</v>
      </c>
      <c r="C91" s="1">
        <v>32.409999999999997</v>
      </c>
      <c r="D91" s="1">
        <f t="shared" si="5"/>
        <v>3.2399999999999949</v>
      </c>
      <c r="E91" s="1">
        <f t="shared" si="1"/>
        <v>11.107302022625973</v>
      </c>
      <c r="F91" s="1">
        <v>30</v>
      </c>
      <c r="G91" s="1">
        <v>6</v>
      </c>
      <c r="H91" s="1">
        <v>17.637840000000001</v>
      </c>
      <c r="I91" s="1" t="s">
        <v>23</v>
      </c>
    </row>
    <row r="92" spans="1:9" ht="15.75" customHeight="1" x14ac:dyDescent="0.25">
      <c r="A92" s="1" t="s">
        <v>21</v>
      </c>
      <c r="B92" s="1">
        <v>45460</v>
      </c>
      <c r="C92" s="1">
        <v>36.479999999999997</v>
      </c>
      <c r="D92" s="1">
        <f t="shared" si="5"/>
        <v>4.18</v>
      </c>
      <c r="E92" s="1">
        <f t="shared" si="1"/>
        <v>12.941176470588232</v>
      </c>
      <c r="F92" s="1">
        <v>30</v>
      </c>
      <c r="G92" s="1">
        <v>6</v>
      </c>
      <c r="H92" s="1">
        <v>18.161840000000002</v>
      </c>
      <c r="I92" s="1" t="s">
        <v>23</v>
      </c>
    </row>
    <row r="93" spans="1:9" ht="15.75" customHeight="1" x14ac:dyDescent="0.25">
      <c r="A93" s="8" t="s">
        <v>25</v>
      </c>
      <c r="B93" s="9">
        <v>45496</v>
      </c>
      <c r="C93" s="10">
        <v>22.51</v>
      </c>
      <c r="D93" s="10">
        <v>0.52</v>
      </c>
      <c r="E93" s="1"/>
      <c r="F93" s="10">
        <v>0</v>
      </c>
      <c r="G93" s="10">
        <v>0</v>
      </c>
      <c r="H93" s="10">
        <v>13.919</v>
      </c>
      <c r="I93" s="1" t="s">
        <v>9</v>
      </c>
    </row>
    <row r="94" spans="1:9" ht="15.75" customHeight="1" x14ac:dyDescent="0.25">
      <c r="A94" s="10" t="s">
        <v>26</v>
      </c>
      <c r="B94" s="9">
        <v>45496</v>
      </c>
      <c r="C94" s="10">
        <v>23.3</v>
      </c>
      <c r="D94" s="10">
        <v>0.57999999999999996</v>
      </c>
      <c r="E94" s="1"/>
      <c r="F94" s="10">
        <v>0</v>
      </c>
      <c r="G94" s="10">
        <v>0</v>
      </c>
      <c r="H94" s="10">
        <v>11.935</v>
      </c>
      <c r="I94" s="1" t="s">
        <v>9</v>
      </c>
    </row>
    <row r="95" spans="1:9" ht="15.75" customHeight="1" x14ac:dyDescent="0.25">
      <c r="A95" s="10" t="s">
        <v>27</v>
      </c>
      <c r="B95" s="9">
        <v>45496</v>
      </c>
      <c r="C95" s="10">
        <v>22</v>
      </c>
      <c r="D95" s="10">
        <v>-0.72</v>
      </c>
      <c r="E95" s="1"/>
      <c r="F95" s="10">
        <v>0</v>
      </c>
      <c r="G95" s="10">
        <v>0</v>
      </c>
      <c r="H95" s="10">
        <v>4.5880000000000001</v>
      </c>
      <c r="I95" s="1" t="s">
        <v>9</v>
      </c>
    </row>
    <row r="96" spans="1:9" ht="15.75" customHeight="1" x14ac:dyDescent="0.25">
      <c r="A96" s="10" t="s">
        <v>28</v>
      </c>
      <c r="B96" s="9">
        <v>45496</v>
      </c>
      <c r="C96" s="10">
        <v>21.03</v>
      </c>
      <c r="D96" s="10">
        <v>-0.94</v>
      </c>
      <c r="E96" s="1"/>
      <c r="F96" s="10">
        <v>0</v>
      </c>
      <c r="G96" s="10">
        <v>0</v>
      </c>
      <c r="H96" s="10">
        <v>5.4249999999999998</v>
      </c>
      <c r="I96" s="1" t="s">
        <v>9</v>
      </c>
    </row>
    <row r="97" spans="1:9" ht="15.75" customHeight="1" x14ac:dyDescent="0.25">
      <c r="A97" s="10" t="s">
        <v>29</v>
      </c>
      <c r="B97" s="9">
        <v>45496</v>
      </c>
      <c r="C97" s="10">
        <v>22.41</v>
      </c>
      <c r="D97" s="10">
        <v>0.43</v>
      </c>
      <c r="E97" s="1"/>
      <c r="F97" s="10">
        <v>0</v>
      </c>
      <c r="G97" s="10">
        <v>0</v>
      </c>
      <c r="H97" s="10">
        <v>11.005000000000001</v>
      </c>
      <c r="I97" s="1" t="s">
        <v>9</v>
      </c>
    </row>
    <row r="98" spans="1:9" ht="15.75" customHeight="1" x14ac:dyDescent="0.25">
      <c r="A98" s="10" t="s">
        <v>30</v>
      </c>
      <c r="B98" s="9">
        <v>45496</v>
      </c>
      <c r="C98" s="10">
        <v>23.52</v>
      </c>
      <c r="D98" s="10">
        <v>0.49</v>
      </c>
      <c r="E98" s="1"/>
      <c r="F98" s="10">
        <v>0</v>
      </c>
      <c r="G98" s="10">
        <v>0</v>
      </c>
      <c r="H98" s="10">
        <v>13.484999999999999</v>
      </c>
      <c r="I98" s="1" t="s">
        <v>9</v>
      </c>
    </row>
    <row r="99" spans="1:9" ht="15.75" customHeight="1" x14ac:dyDescent="0.25">
      <c r="A99" s="10" t="s">
        <v>31</v>
      </c>
      <c r="B99" s="9">
        <v>45496</v>
      </c>
      <c r="C99" s="10">
        <v>21.37</v>
      </c>
      <c r="D99" s="10">
        <v>0.47</v>
      </c>
      <c r="E99" s="1"/>
      <c r="F99" s="10">
        <v>0</v>
      </c>
      <c r="G99" s="10">
        <v>0</v>
      </c>
      <c r="H99" s="10">
        <v>12.4</v>
      </c>
      <c r="I99" s="1" t="s">
        <v>9</v>
      </c>
    </row>
    <row r="100" spans="1:9" ht="15.75" customHeight="1" x14ac:dyDescent="0.25">
      <c r="A100" s="10" t="s">
        <v>32</v>
      </c>
      <c r="B100" s="9">
        <v>45496</v>
      </c>
      <c r="C100" s="10">
        <v>21.32</v>
      </c>
      <c r="D100" s="10">
        <v>0.56999999999999995</v>
      </c>
      <c r="E100" s="1"/>
      <c r="F100" s="10">
        <v>0</v>
      </c>
      <c r="G100" s="10">
        <v>0</v>
      </c>
      <c r="H100" s="10">
        <v>12.276</v>
      </c>
      <c r="I100" s="1" t="s">
        <v>9</v>
      </c>
    </row>
    <row r="101" spans="1:9" ht="15.75" customHeight="1" x14ac:dyDescent="0.25">
      <c r="A101" s="10" t="s">
        <v>33</v>
      </c>
      <c r="B101" s="9">
        <v>45496</v>
      </c>
      <c r="C101" s="10">
        <v>22.11</v>
      </c>
      <c r="D101" s="10">
        <v>0.22</v>
      </c>
      <c r="E101" s="1"/>
      <c r="F101" s="10">
        <v>0</v>
      </c>
      <c r="G101" s="10">
        <v>0</v>
      </c>
      <c r="H101" s="10">
        <v>10.757</v>
      </c>
      <c r="I101" s="1" t="s">
        <v>9</v>
      </c>
    </row>
    <row r="102" spans="1:9" ht="15.75" customHeight="1" x14ac:dyDescent="0.25">
      <c r="A102" s="10" t="s">
        <v>34</v>
      </c>
      <c r="B102" s="9">
        <v>45496</v>
      </c>
      <c r="C102" s="10">
        <v>22.97</v>
      </c>
      <c r="D102" s="10">
        <v>0.57999999999999996</v>
      </c>
      <c r="E102" s="1"/>
      <c r="F102" s="10">
        <v>0</v>
      </c>
      <c r="G102" s="10">
        <v>0</v>
      </c>
      <c r="H102" s="10">
        <v>13.206</v>
      </c>
      <c r="I102" s="1" t="s">
        <v>9</v>
      </c>
    </row>
    <row r="103" spans="1:9" ht="15.75" customHeight="1" x14ac:dyDescent="0.25">
      <c r="A103" s="10" t="s">
        <v>25</v>
      </c>
      <c r="B103" s="9">
        <v>45501</v>
      </c>
      <c r="C103" s="10">
        <v>21.37</v>
      </c>
      <c r="D103" s="10">
        <f>C103-C93</f>
        <v>-1.1400000000000006</v>
      </c>
      <c r="E103" s="1">
        <f>C103/C93*100-100</f>
        <v>-5.064415815193243</v>
      </c>
      <c r="F103" s="10">
        <v>5</v>
      </c>
      <c r="G103" s="10">
        <v>1</v>
      </c>
      <c r="H103" s="10">
        <v>17.824999999999999</v>
      </c>
      <c r="I103" s="1" t="s">
        <v>22</v>
      </c>
    </row>
    <row r="104" spans="1:9" ht="15.75" customHeight="1" x14ac:dyDescent="0.25">
      <c r="A104" s="10" t="s">
        <v>26</v>
      </c>
      <c r="B104" s="9">
        <v>45501</v>
      </c>
      <c r="C104" s="10">
        <v>22.89</v>
      </c>
      <c r="D104" s="10">
        <f t="shared" ref="D104:D162" si="6">C104-C94</f>
        <v>-0.41000000000000014</v>
      </c>
      <c r="E104" s="1">
        <f t="shared" ref="E104:E162" si="7">C104/C94*100-100</f>
        <v>-1.759656652360519</v>
      </c>
      <c r="F104" s="10">
        <v>5</v>
      </c>
      <c r="G104" s="10">
        <v>1</v>
      </c>
      <c r="H104" s="10">
        <v>19.033999999999999</v>
      </c>
      <c r="I104" s="1" t="s">
        <v>22</v>
      </c>
    </row>
    <row r="105" spans="1:9" ht="15.75" customHeight="1" x14ac:dyDescent="0.25">
      <c r="A105" s="10" t="s">
        <v>27</v>
      </c>
      <c r="B105" s="9">
        <v>45501</v>
      </c>
      <c r="C105" s="10">
        <v>22.41</v>
      </c>
      <c r="D105" s="10">
        <f t="shared" si="6"/>
        <v>0.41000000000000014</v>
      </c>
      <c r="E105" s="1">
        <f t="shared" si="7"/>
        <v>1.8636363636363598</v>
      </c>
      <c r="F105" s="10">
        <v>5</v>
      </c>
      <c r="G105" s="10">
        <v>1</v>
      </c>
      <c r="H105" s="10">
        <v>18.414000000000001</v>
      </c>
      <c r="I105" s="1" t="s">
        <v>22</v>
      </c>
    </row>
    <row r="106" spans="1:9" ht="15.75" customHeight="1" x14ac:dyDescent="0.25">
      <c r="A106" s="10" t="s">
        <v>28</v>
      </c>
      <c r="B106" s="9">
        <v>45501</v>
      </c>
      <c r="C106" s="10">
        <v>21.37</v>
      </c>
      <c r="D106" s="10">
        <f t="shared" si="6"/>
        <v>0.33999999999999986</v>
      </c>
      <c r="E106" s="1">
        <f t="shared" si="7"/>
        <v>1.6167379933428521</v>
      </c>
      <c r="F106" s="10">
        <v>5</v>
      </c>
      <c r="G106" s="10">
        <v>1</v>
      </c>
      <c r="H106" s="10">
        <v>9.1140000000000008</v>
      </c>
      <c r="I106" s="1" t="s">
        <v>22</v>
      </c>
    </row>
    <row r="107" spans="1:9" ht="15.75" customHeight="1" x14ac:dyDescent="0.25">
      <c r="A107" s="10" t="s">
        <v>29</v>
      </c>
      <c r="B107" s="9">
        <v>45501</v>
      </c>
      <c r="C107" s="10">
        <v>21.21</v>
      </c>
      <c r="D107" s="10">
        <f t="shared" si="6"/>
        <v>-1.1999999999999993</v>
      </c>
      <c r="E107" s="1">
        <f t="shared" si="7"/>
        <v>-5.3547523427041455</v>
      </c>
      <c r="F107" s="10">
        <v>5</v>
      </c>
      <c r="G107" s="10">
        <v>1</v>
      </c>
      <c r="H107" s="10">
        <v>15.407</v>
      </c>
      <c r="I107" s="1" t="s">
        <v>22</v>
      </c>
    </row>
    <row r="108" spans="1:9" ht="15.75" customHeight="1" x14ac:dyDescent="0.25">
      <c r="A108" s="10" t="s">
        <v>30</v>
      </c>
      <c r="B108" s="9">
        <v>45501</v>
      </c>
      <c r="C108" s="10">
        <v>22.71</v>
      </c>
      <c r="D108" s="10">
        <f t="shared" si="6"/>
        <v>-0.80999999999999872</v>
      </c>
      <c r="E108" s="1">
        <f t="shared" si="7"/>
        <v>-3.4438775510204067</v>
      </c>
      <c r="F108" s="10">
        <v>5</v>
      </c>
      <c r="G108" s="10">
        <v>1</v>
      </c>
      <c r="H108" s="10">
        <v>15.314</v>
      </c>
      <c r="I108" s="1" t="s">
        <v>22</v>
      </c>
    </row>
    <row r="109" spans="1:9" ht="15.75" customHeight="1" x14ac:dyDescent="0.25">
      <c r="A109" s="10" t="s">
        <v>31</v>
      </c>
      <c r="B109" s="9">
        <v>45501</v>
      </c>
      <c r="C109" s="10">
        <v>21.7</v>
      </c>
      <c r="D109" s="10">
        <f t="shared" si="6"/>
        <v>0.32999999999999829</v>
      </c>
      <c r="E109" s="1">
        <f t="shared" si="7"/>
        <v>1.5442208703790214</v>
      </c>
      <c r="F109" s="10">
        <v>5</v>
      </c>
      <c r="G109" s="10">
        <v>1</v>
      </c>
      <c r="H109" s="10">
        <v>13.64</v>
      </c>
      <c r="I109" s="1" t="s">
        <v>22</v>
      </c>
    </row>
    <row r="110" spans="1:9" ht="15.75" customHeight="1" x14ac:dyDescent="0.25">
      <c r="A110" s="10" t="s">
        <v>32</v>
      </c>
      <c r="B110" s="9">
        <v>45501</v>
      </c>
      <c r="C110" s="10">
        <v>21.47</v>
      </c>
      <c r="D110" s="10">
        <f t="shared" si="6"/>
        <v>0.14999999999999858</v>
      </c>
      <c r="E110" s="1">
        <f t="shared" si="7"/>
        <v>0.70356472795496927</v>
      </c>
      <c r="F110" s="10">
        <v>5</v>
      </c>
      <c r="G110" s="10">
        <v>1</v>
      </c>
      <c r="H110" s="10">
        <v>18.103999999999999</v>
      </c>
      <c r="I110" s="1" t="s">
        <v>22</v>
      </c>
    </row>
    <row r="111" spans="1:9" ht="15.75" customHeight="1" x14ac:dyDescent="0.25">
      <c r="A111" s="10" t="s">
        <v>33</v>
      </c>
      <c r="B111" s="9">
        <v>45501</v>
      </c>
      <c r="C111" s="10">
        <v>22.13</v>
      </c>
      <c r="D111" s="10">
        <f t="shared" si="6"/>
        <v>1.9999999999999574E-2</v>
      </c>
      <c r="E111" s="1">
        <f t="shared" si="7"/>
        <v>9.045680687471247E-2</v>
      </c>
      <c r="F111" s="10">
        <v>5</v>
      </c>
      <c r="G111" s="10">
        <v>1</v>
      </c>
      <c r="H111" s="10">
        <v>13.95</v>
      </c>
      <c r="I111" s="1" t="s">
        <v>22</v>
      </c>
    </row>
    <row r="112" spans="1:9" ht="15.75" customHeight="1" x14ac:dyDescent="0.25">
      <c r="A112" s="10" t="s">
        <v>34</v>
      </c>
      <c r="B112" s="9">
        <v>45501</v>
      </c>
      <c r="C112" s="10">
        <v>21.88</v>
      </c>
      <c r="D112" s="10">
        <f t="shared" si="6"/>
        <v>-1.0899999999999999</v>
      </c>
      <c r="E112" s="1">
        <f t="shared" si="7"/>
        <v>-4.7453199825859826</v>
      </c>
      <c r="F112" s="10">
        <v>5</v>
      </c>
      <c r="G112" s="10">
        <v>1</v>
      </c>
      <c r="H112" s="10">
        <v>10.571</v>
      </c>
      <c r="I112" s="1" t="s">
        <v>22</v>
      </c>
    </row>
    <row r="113" spans="1:9" ht="15.75" customHeight="1" x14ac:dyDescent="0.25">
      <c r="A113" s="10" t="s">
        <v>25</v>
      </c>
      <c r="B113" s="9">
        <v>45506</v>
      </c>
      <c r="C113" s="10">
        <v>24.9</v>
      </c>
      <c r="D113" s="10">
        <f>C113-C103</f>
        <v>3.5299999999999976</v>
      </c>
      <c r="E113" s="1">
        <f>C113/C103*100-100</f>
        <v>16.518483855872717</v>
      </c>
      <c r="F113" s="10">
        <v>10</v>
      </c>
      <c r="G113" s="10">
        <v>2</v>
      </c>
      <c r="H113" s="10">
        <v>38.064</v>
      </c>
      <c r="I113" s="1" t="s">
        <v>23</v>
      </c>
    </row>
    <row r="114" spans="1:9" ht="15.75" customHeight="1" x14ac:dyDescent="0.25">
      <c r="A114" s="10" t="s">
        <v>26</v>
      </c>
      <c r="B114" s="9">
        <v>45506</v>
      </c>
      <c r="C114" s="10">
        <v>25.8</v>
      </c>
      <c r="D114" s="10">
        <f t="shared" si="6"/>
        <v>2.91</v>
      </c>
      <c r="E114" s="1">
        <f t="shared" si="7"/>
        <v>12.712975098296212</v>
      </c>
      <c r="F114" s="10">
        <v>10</v>
      </c>
      <c r="G114" s="10">
        <v>2</v>
      </c>
      <c r="H114" s="10">
        <v>151.268</v>
      </c>
      <c r="I114" s="1" t="s">
        <v>23</v>
      </c>
    </row>
    <row r="115" spans="1:9" ht="15.75" customHeight="1" x14ac:dyDescent="0.25">
      <c r="A115" s="10" t="s">
        <v>27</v>
      </c>
      <c r="B115" s="9">
        <v>45506</v>
      </c>
      <c r="C115" s="10">
        <v>23.6</v>
      </c>
      <c r="D115" s="10">
        <f t="shared" si="6"/>
        <v>1.1900000000000013</v>
      </c>
      <c r="E115" s="1">
        <f t="shared" si="7"/>
        <v>5.3101294065149602</v>
      </c>
      <c r="F115" s="10">
        <v>10</v>
      </c>
      <c r="G115" s="10">
        <v>2</v>
      </c>
      <c r="H115" s="10">
        <v>31.46</v>
      </c>
      <c r="I115" s="1" t="s">
        <v>23</v>
      </c>
    </row>
    <row r="116" spans="1:9" ht="15.75" customHeight="1" x14ac:dyDescent="0.25">
      <c r="A116" s="10" t="s">
        <v>28</v>
      </c>
      <c r="B116" s="9">
        <v>45506</v>
      </c>
      <c r="C116" s="10">
        <v>23.8</v>
      </c>
      <c r="D116" s="10">
        <f t="shared" si="6"/>
        <v>2.4299999999999997</v>
      </c>
      <c r="E116" s="1">
        <f t="shared" si="7"/>
        <v>11.371080954609255</v>
      </c>
      <c r="F116" s="10">
        <v>10</v>
      </c>
      <c r="G116" s="10">
        <v>2</v>
      </c>
      <c r="H116" s="10">
        <v>42.951999999999998</v>
      </c>
      <c r="I116" s="1" t="s">
        <v>23</v>
      </c>
    </row>
    <row r="117" spans="1:9" ht="15.75" customHeight="1" x14ac:dyDescent="0.25">
      <c r="A117" s="10" t="s">
        <v>29</v>
      </c>
      <c r="B117" s="9">
        <v>45506</v>
      </c>
      <c r="C117" s="10">
        <v>23.7</v>
      </c>
      <c r="D117" s="10">
        <f t="shared" si="6"/>
        <v>2.4899999999999984</v>
      </c>
      <c r="E117" s="1">
        <f t="shared" si="7"/>
        <v>11.739745403111741</v>
      </c>
      <c r="F117" s="10">
        <v>10</v>
      </c>
      <c r="G117" s="10">
        <v>2</v>
      </c>
      <c r="H117" s="10">
        <v>28.963999999999999</v>
      </c>
      <c r="I117" s="1" t="s">
        <v>23</v>
      </c>
    </row>
    <row r="118" spans="1:9" ht="15.75" customHeight="1" x14ac:dyDescent="0.25">
      <c r="A118" s="10" t="s">
        <v>30</v>
      </c>
      <c r="B118" s="9">
        <v>45506</v>
      </c>
      <c r="C118" s="10">
        <v>26.5</v>
      </c>
      <c r="D118" s="10">
        <f t="shared" si="6"/>
        <v>3.7899999999999991</v>
      </c>
      <c r="E118" s="1">
        <f t="shared" si="7"/>
        <v>16.688683399383521</v>
      </c>
      <c r="F118" s="10">
        <v>10</v>
      </c>
      <c r="G118" s="10">
        <v>2</v>
      </c>
      <c r="H118" s="10">
        <v>34.164000000000001</v>
      </c>
      <c r="I118" s="1" t="s">
        <v>23</v>
      </c>
    </row>
    <row r="119" spans="1:9" ht="15.75" customHeight="1" x14ac:dyDescent="0.25">
      <c r="A119" s="10" t="s">
        <v>31</v>
      </c>
      <c r="B119" s="9">
        <v>45506</v>
      </c>
      <c r="C119" s="10">
        <v>22.9</v>
      </c>
      <c r="D119" s="10">
        <f t="shared" si="6"/>
        <v>1.1999999999999993</v>
      </c>
      <c r="E119" s="1">
        <f t="shared" si="7"/>
        <v>5.5299539170506904</v>
      </c>
      <c r="F119" s="10">
        <v>10</v>
      </c>
      <c r="G119" s="10">
        <v>2</v>
      </c>
      <c r="H119" s="10">
        <v>30.68</v>
      </c>
      <c r="I119" s="1" t="s">
        <v>23</v>
      </c>
    </row>
    <row r="120" spans="1:9" ht="15.75" customHeight="1" x14ac:dyDescent="0.25">
      <c r="A120" s="10" t="s">
        <v>32</v>
      </c>
      <c r="B120" s="9">
        <v>45506</v>
      </c>
      <c r="C120" s="10">
        <v>23.7</v>
      </c>
      <c r="D120" s="10">
        <f t="shared" si="6"/>
        <v>2.2300000000000004</v>
      </c>
      <c r="E120" s="1">
        <f t="shared" si="7"/>
        <v>10.386585933861213</v>
      </c>
      <c r="F120" s="10">
        <v>10</v>
      </c>
      <c r="G120" s="10">
        <v>2</v>
      </c>
      <c r="H120" s="10">
        <v>33.851999999999997</v>
      </c>
      <c r="I120" s="1" t="s">
        <v>23</v>
      </c>
    </row>
    <row r="121" spans="1:9" ht="15.75" customHeight="1" x14ac:dyDescent="0.25">
      <c r="A121" s="10" t="s">
        <v>33</v>
      </c>
      <c r="B121" s="9">
        <v>45506</v>
      </c>
      <c r="C121" s="10">
        <v>24.6</v>
      </c>
      <c r="D121" s="10">
        <f t="shared" si="6"/>
        <v>2.4700000000000024</v>
      </c>
      <c r="E121" s="1">
        <f t="shared" si="7"/>
        <v>11.161319475824683</v>
      </c>
      <c r="F121" s="10">
        <v>10</v>
      </c>
      <c r="G121" s="10">
        <v>2</v>
      </c>
      <c r="H121" s="10">
        <v>28.86</v>
      </c>
      <c r="I121" s="1" t="s">
        <v>23</v>
      </c>
    </row>
    <row r="122" spans="1:9" ht="15.75" customHeight="1" x14ac:dyDescent="0.25">
      <c r="A122" s="10" t="s">
        <v>34</v>
      </c>
      <c r="B122" s="9">
        <v>45506</v>
      </c>
      <c r="C122" s="10">
        <v>25.6</v>
      </c>
      <c r="D122" s="10">
        <f t="shared" si="6"/>
        <v>3.7200000000000024</v>
      </c>
      <c r="E122" s="1">
        <f t="shared" si="7"/>
        <v>17.001828153564901</v>
      </c>
      <c r="F122" s="10">
        <v>10</v>
      </c>
      <c r="G122" s="10">
        <v>2</v>
      </c>
      <c r="H122" s="10">
        <v>141.804</v>
      </c>
      <c r="I122" s="1" t="s">
        <v>23</v>
      </c>
    </row>
    <row r="123" spans="1:9" ht="15.75" customHeight="1" x14ac:dyDescent="0.25">
      <c r="A123" s="10" t="s">
        <v>25</v>
      </c>
      <c r="B123" s="9">
        <v>45511</v>
      </c>
      <c r="C123" s="10">
        <v>25.4</v>
      </c>
      <c r="D123" s="10">
        <f>C123-C113</f>
        <v>0.5</v>
      </c>
      <c r="E123" s="1">
        <f>C123/C113*100-100</f>
        <v>2.0080321285140599</v>
      </c>
      <c r="F123" s="10">
        <v>15</v>
      </c>
      <c r="G123" s="10">
        <v>3</v>
      </c>
      <c r="H123" s="10">
        <v>10.4276</v>
      </c>
      <c r="I123" s="1" t="s">
        <v>24</v>
      </c>
    </row>
    <row r="124" spans="1:9" ht="15.75" customHeight="1" x14ac:dyDescent="0.25">
      <c r="A124" s="10" t="s">
        <v>26</v>
      </c>
      <c r="B124" s="9">
        <v>45511</v>
      </c>
      <c r="C124" s="10">
        <v>26.77</v>
      </c>
      <c r="D124" s="10">
        <f t="shared" si="6"/>
        <v>0.96999999999999886</v>
      </c>
      <c r="E124" s="1">
        <f t="shared" si="7"/>
        <v>3.759689922480618</v>
      </c>
      <c r="F124" s="10">
        <v>15</v>
      </c>
      <c r="G124" s="10">
        <v>3</v>
      </c>
      <c r="H124" s="10">
        <v>22.898800000000001</v>
      </c>
      <c r="I124" s="1" t="s">
        <v>24</v>
      </c>
    </row>
    <row r="125" spans="1:9" ht="15.75" customHeight="1" x14ac:dyDescent="0.25">
      <c r="A125" s="10" t="s">
        <v>27</v>
      </c>
      <c r="B125" s="9">
        <v>45511</v>
      </c>
      <c r="C125" s="10">
        <v>24.41</v>
      </c>
      <c r="D125" s="10">
        <f t="shared" si="6"/>
        <v>0.80999999999999872</v>
      </c>
      <c r="E125" s="1">
        <f t="shared" si="7"/>
        <v>3.4322033898305051</v>
      </c>
      <c r="F125" s="10">
        <v>15</v>
      </c>
      <c r="G125" s="10">
        <v>3</v>
      </c>
      <c r="H125" s="10">
        <v>14.148</v>
      </c>
      <c r="I125" s="1" t="s">
        <v>24</v>
      </c>
    </row>
    <row r="126" spans="1:9" ht="15.75" customHeight="1" x14ac:dyDescent="0.25">
      <c r="A126" s="10" t="s">
        <v>28</v>
      </c>
      <c r="B126" s="9">
        <v>45511</v>
      </c>
      <c r="C126" s="10">
        <v>23.7</v>
      </c>
      <c r="D126" s="10">
        <f t="shared" si="6"/>
        <v>-0.10000000000000142</v>
      </c>
      <c r="E126" s="1">
        <f t="shared" si="7"/>
        <v>-0.42016806722689637</v>
      </c>
      <c r="F126" s="10">
        <v>15</v>
      </c>
      <c r="G126" s="10">
        <v>3</v>
      </c>
      <c r="H126" s="10">
        <v>3.0392000000000001</v>
      </c>
      <c r="I126" s="1" t="s">
        <v>24</v>
      </c>
    </row>
    <row r="127" spans="1:9" ht="15.75" customHeight="1" x14ac:dyDescent="0.25">
      <c r="A127" s="10" t="s">
        <v>29</v>
      </c>
      <c r="B127" s="9">
        <v>45511</v>
      </c>
      <c r="C127" s="10">
        <v>25.97</v>
      </c>
      <c r="D127" s="10">
        <f t="shared" si="6"/>
        <v>2.2699999999999996</v>
      </c>
      <c r="E127" s="1">
        <f t="shared" si="7"/>
        <v>9.5780590717299532</v>
      </c>
      <c r="F127" s="10">
        <v>15</v>
      </c>
      <c r="G127" s="10">
        <v>3</v>
      </c>
      <c r="H127" s="10">
        <v>13.414400000000001</v>
      </c>
      <c r="I127" s="1" t="s">
        <v>24</v>
      </c>
    </row>
    <row r="128" spans="1:9" ht="15.75" customHeight="1" x14ac:dyDescent="0.25">
      <c r="A128" s="10" t="s">
        <v>30</v>
      </c>
      <c r="B128" s="9">
        <v>45511</v>
      </c>
      <c r="C128" s="10">
        <v>25.9</v>
      </c>
      <c r="D128" s="10">
        <f t="shared" si="6"/>
        <v>-0.60000000000000142</v>
      </c>
      <c r="E128" s="1">
        <f t="shared" si="7"/>
        <v>-2.2641509433962312</v>
      </c>
      <c r="F128" s="10">
        <v>15</v>
      </c>
      <c r="G128" s="10">
        <v>3</v>
      </c>
      <c r="H128" s="10">
        <v>8.1219999999999999</v>
      </c>
      <c r="I128" s="1" t="s">
        <v>24</v>
      </c>
    </row>
    <row r="129" spans="1:9" ht="15.75" customHeight="1" x14ac:dyDescent="0.25">
      <c r="A129" s="10" t="s">
        <v>31</v>
      </c>
      <c r="B129" s="9">
        <v>45511</v>
      </c>
      <c r="C129" s="10">
        <v>22.49</v>
      </c>
      <c r="D129" s="10">
        <f t="shared" si="6"/>
        <v>-0.41000000000000014</v>
      </c>
      <c r="E129" s="1">
        <f t="shared" si="7"/>
        <v>-1.7903930131004273</v>
      </c>
      <c r="F129" s="10">
        <v>15</v>
      </c>
      <c r="G129" s="10">
        <v>3</v>
      </c>
      <c r="H129" s="10">
        <v>6.9168000000000003</v>
      </c>
      <c r="I129" s="1" t="s">
        <v>24</v>
      </c>
    </row>
    <row r="130" spans="1:9" ht="15.75" customHeight="1" x14ac:dyDescent="0.25">
      <c r="A130" s="10" t="s">
        <v>32</v>
      </c>
      <c r="B130" s="9">
        <v>45511</v>
      </c>
      <c r="C130" s="10">
        <v>24.13</v>
      </c>
      <c r="D130" s="10">
        <f t="shared" si="6"/>
        <v>0.42999999999999972</v>
      </c>
      <c r="E130" s="1">
        <f t="shared" si="7"/>
        <v>1.8143459915611828</v>
      </c>
      <c r="F130" s="10">
        <v>15</v>
      </c>
      <c r="G130" s="10">
        <v>3</v>
      </c>
      <c r="H130" s="10">
        <v>16.715599999999998</v>
      </c>
      <c r="I130" s="1" t="s">
        <v>24</v>
      </c>
    </row>
    <row r="131" spans="1:9" ht="15.75" customHeight="1" x14ac:dyDescent="0.25">
      <c r="A131" s="10" t="s">
        <v>33</v>
      </c>
      <c r="B131" s="9">
        <v>45511</v>
      </c>
      <c r="C131" s="10">
        <v>25.42</v>
      </c>
      <c r="D131" s="10">
        <f t="shared" si="6"/>
        <v>0.82000000000000028</v>
      </c>
      <c r="E131" s="1">
        <f t="shared" si="7"/>
        <v>3.3333333333333428</v>
      </c>
      <c r="F131" s="10">
        <v>15</v>
      </c>
      <c r="G131" s="10">
        <v>3</v>
      </c>
      <c r="H131" s="10">
        <v>16.139199999999999</v>
      </c>
      <c r="I131" s="1" t="s">
        <v>24</v>
      </c>
    </row>
    <row r="132" spans="1:9" ht="15.75" customHeight="1" x14ac:dyDescent="0.25">
      <c r="A132" s="10" t="s">
        <v>34</v>
      </c>
      <c r="B132" s="9">
        <v>45511</v>
      </c>
      <c r="C132" s="10">
        <v>27.03</v>
      </c>
      <c r="D132" s="10">
        <f t="shared" si="6"/>
        <v>1.4299999999999997</v>
      </c>
      <c r="E132" s="1">
        <f t="shared" si="7"/>
        <v>5.5859375</v>
      </c>
      <c r="F132" s="10">
        <v>15</v>
      </c>
      <c r="G132" s="10">
        <v>3</v>
      </c>
      <c r="H132" s="10">
        <v>11.9472</v>
      </c>
      <c r="I132" s="1" t="s">
        <v>24</v>
      </c>
    </row>
    <row r="133" spans="1:9" ht="15.75" customHeight="1" x14ac:dyDescent="0.25">
      <c r="A133" s="10" t="s">
        <v>25</v>
      </c>
      <c r="B133" s="9">
        <v>45516</v>
      </c>
      <c r="C133" s="10">
        <v>26.2</v>
      </c>
      <c r="D133" s="10">
        <f>C133-C123</f>
        <v>0.80000000000000071</v>
      </c>
      <c r="E133" s="1">
        <f>C133/C123*100-100</f>
        <v>3.1496062992125928</v>
      </c>
      <c r="F133" s="10">
        <v>20</v>
      </c>
      <c r="G133" s="8">
        <v>4</v>
      </c>
      <c r="H133" s="10">
        <v>12.418799999999999</v>
      </c>
      <c r="I133" s="1" t="s">
        <v>23</v>
      </c>
    </row>
    <row r="134" spans="1:9" ht="15.75" customHeight="1" x14ac:dyDescent="0.25">
      <c r="A134" s="10" t="s">
        <v>26</v>
      </c>
      <c r="B134" s="9">
        <v>45516</v>
      </c>
      <c r="C134" s="10">
        <v>28.25</v>
      </c>
      <c r="D134" s="10">
        <f t="shared" si="6"/>
        <v>1.4800000000000004</v>
      </c>
      <c r="E134" s="1">
        <f t="shared" si="7"/>
        <v>5.5285767650354813</v>
      </c>
      <c r="F134" s="10">
        <v>20</v>
      </c>
      <c r="G134" s="8">
        <v>4</v>
      </c>
      <c r="H134" s="10">
        <v>17.03</v>
      </c>
      <c r="I134" s="1" t="s">
        <v>23</v>
      </c>
    </row>
    <row r="135" spans="1:9" ht="15.75" customHeight="1" x14ac:dyDescent="0.25">
      <c r="A135" s="10" t="s">
        <v>27</v>
      </c>
      <c r="B135" s="9">
        <v>45516</v>
      </c>
      <c r="C135" s="10">
        <v>26.3</v>
      </c>
      <c r="D135" s="10">
        <f t="shared" si="6"/>
        <v>1.8900000000000006</v>
      </c>
      <c r="E135" s="1">
        <f t="shared" si="7"/>
        <v>7.7427283900040891</v>
      </c>
      <c r="F135" s="10">
        <v>20</v>
      </c>
      <c r="G135" s="8">
        <v>4</v>
      </c>
      <c r="H135" s="10">
        <v>16.453600000000002</v>
      </c>
      <c r="I135" s="1" t="s">
        <v>23</v>
      </c>
    </row>
    <row r="136" spans="1:9" ht="15.75" customHeight="1" x14ac:dyDescent="0.25">
      <c r="A136" s="10" t="s">
        <v>28</v>
      </c>
      <c r="B136" s="9">
        <v>45516</v>
      </c>
      <c r="C136" s="10">
        <v>24.41</v>
      </c>
      <c r="D136" s="10">
        <f t="shared" si="6"/>
        <v>0.71000000000000085</v>
      </c>
      <c r="E136" s="1">
        <f t="shared" si="7"/>
        <v>2.9957805907173025</v>
      </c>
      <c r="F136" s="10">
        <v>20</v>
      </c>
      <c r="G136" s="8">
        <v>4</v>
      </c>
      <c r="H136" s="10">
        <v>11.8424</v>
      </c>
      <c r="I136" s="1" t="s">
        <v>23</v>
      </c>
    </row>
    <row r="137" spans="1:9" ht="15.75" customHeight="1" x14ac:dyDescent="0.25">
      <c r="A137" s="10" t="s">
        <v>29</v>
      </c>
      <c r="B137" s="9">
        <v>45516</v>
      </c>
      <c r="C137" s="10">
        <v>27.12</v>
      </c>
      <c r="D137" s="10">
        <f t="shared" si="6"/>
        <v>1.1500000000000021</v>
      </c>
      <c r="E137" s="1">
        <f t="shared" si="7"/>
        <v>4.4281863688871823</v>
      </c>
      <c r="F137" s="10">
        <v>20</v>
      </c>
      <c r="G137" s="8">
        <v>4</v>
      </c>
      <c r="H137" s="10">
        <v>15.72</v>
      </c>
      <c r="I137" s="1" t="s">
        <v>23</v>
      </c>
    </row>
    <row r="138" spans="1:9" ht="15.75" customHeight="1" x14ac:dyDescent="0.25">
      <c r="A138" s="10" t="s">
        <v>30</v>
      </c>
      <c r="B138" s="9">
        <v>45516</v>
      </c>
      <c r="C138" s="10">
        <v>28.5</v>
      </c>
      <c r="D138" s="10">
        <f t="shared" si="6"/>
        <v>2.6000000000000014</v>
      </c>
      <c r="E138" s="1">
        <f t="shared" si="7"/>
        <v>10.038610038610045</v>
      </c>
      <c r="F138" s="10">
        <v>20</v>
      </c>
      <c r="G138" s="8">
        <v>4</v>
      </c>
      <c r="H138" s="10">
        <v>17.292000000000002</v>
      </c>
      <c r="I138" s="1" t="s">
        <v>23</v>
      </c>
    </row>
    <row r="139" spans="1:9" ht="15.75" customHeight="1" x14ac:dyDescent="0.25">
      <c r="A139" s="10" t="s">
        <v>31</v>
      </c>
      <c r="B139" s="9">
        <v>45516</v>
      </c>
      <c r="C139" s="10">
        <v>23.64</v>
      </c>
      <c r="D139" s="10">
        <f t="shared" si="6"/>
        <v>1.1500000000000021</v>
      </c>
      <c r="E139" s="1">
        <f t="shared" si="7"/>
        <v>5.1133837261005084</v>
      </c>
      <c r="F139" s="10">
        <v>20</v>
      </c>
      <c r="G139" s="8">
        <v>4</v>
      </c>
      <c r="H139" s="10">
        <v>18.235199999999999</v>
      </c>
      <c r="I139" s="1" t="s">
        <v>23</v>
      </c>
    </row>
    <row r="140" spans="1:9" ht="15.75" customHeight="1" x14ac:dyDescent="0.25">
      <c r="A140" s="10" t="s">
        <v>32</v>
      </c>
      <c r="B140" s="9">
        <v>45516</v>
      </c>
      <c r="C140" s="10">
        <v>24.83</v>
      </c>
      <c r="D140" s="10">
        <f t="shared" si="6"/>
        <v>0.69999999999999929</v>
      </c>
      <c r="E140" s="1">
        <f t="shared" si="7"/>
        <v>2.9009531703273979</v>
      </c>
      <c r="F140" s="10">
        <v>20</v>
      </c>
      <c r="G140" s="8">
        <v>4</v>
      </c>
      <c r="H140" s="10">
        <v>16.034400000000002</v>
      </c>
      <c r="I140" s="1" t="s">
        <v>23</v>
      </c>
    </row>
    <row r="141" spans="1:9" ht="15.75" customHeight="1" x14ac:dyDescent="0.25">
      <c r="A141" s="10" t="s">
        <v>33</v>
      </c>
      <c r="B141" s="9">
        <v>45516</v>
      </c>
      <c r="C141" s="10">
        <v>26.47</v>
      </c>
      <c r="D141" s="10">
        <f t="shared" si="6"/>
        <v>1.0499999999999972</v>
      </c>
      <c r="E141" s="1">
        <f t="shared" si="7"/>
        <v>4.130605822187249</v>
      </c>
      <c r="F141" s="10">
        <v>20</v>
      </c>
      <c r="G141" s="8">
        <v>4</v>
      </c>
      <c r="H141" s="10">
        <v>14.514799999999999</v>
      </c>
      <c r="I141" s="1" t="s">
        <v>23</v>
      </c>
    </row>
    <row r="142" spans="1:9" ht="15.75" customHeight="1" x14ac:dyDescent="0.25">
      <c r="A142" s="10" t="s">
        <v>34</v>
      </c>
      <c r="B142" s="9">
        <v>45516</v>
      </c>
      <c r="C142" s="10">
        <v>29.2</v>
      </c>
      <c r="D142" s="10">
        <f t="shared" si="6"/>
        <v>2.1699999999999982</v>
      </c>
      <c r="E142" s="1">
        <f t="shared" si="7"/>
        <v>8.0281169071402019</v>
      </c>
      <c r="F142" s="10">
        <v>20</v>
      </c>
      <c r="G142" s="8">
        <v>4</v>
      </c>
      <c r="H142" s="10">
        <v>2.2532000000000001</v>
      </c>
      <c r="I142" s="1" t="s">
        <v>23</v>
      </c>
    </row>
    <row r="143" spans="1:9" ht="15.75" customHeight="1" x14ac:dyDescent="0.25">
      <c r="A143" s="10" t="s">
        <v>25</v>
      </c>
      <c r="B143" s="9">
        <v>45521</v>
      </c>
      <c r="C143" s="10">
        <v>26.5</v>
      </c>
      <c r="D143" s="10">
        <f>C143-C133</f>
        <v>0.30000000000000071</v>
      </c>
      <c r="E143" s="1">
        <f>C143/C133*100-100</f>
        <v>1.1450381679389352</v>
      </c>
      <c r="F143" s="10">
        <v>25</v>
      </c>
      <c r="G143" s="8">
        <v>5</v>
      </c>
      <c r="H143" s="10">
        <v>10.6372</v>
      </c>
      <c r="I143" s="1" t="s">
        <v>24</v>
      </c>
    </row>
    <row r="144" spans="1:9" ht="15.75" customHeight="1" x14ac:dyDescent="0.25">
      <c r="A144" s="10" t="s">
        <v>26</v>
      </c>
      <c r="B144" s="9">
        <v>45521</v>
      </c>
      <c r="C144" s="10">
        <v>28.3</v>
      </c>
      <c r="D144" s="10">
        <f t="shared" si="6"/>
        <v>5.0000000000000711E-2</v>
      </c>
      <c r="E144" s="1">
        <f t="shared" si="7"/>
        <v>0.17699115044247549</v>
      </c>
      <c r="F144" s="10">
        <v>25</v>
      </c>
      <c r="G144" s="8">
        <v>5</v>
      </c>
      <c r="H144" s="10">
        <v>12.9428</v>
      </c>
      <c r="I144" s="1" t="s">
        <v>24</v>
      </c>
    </row>
    <row r="145" spans="1:9" ht="15.75" customHeight="1" x14ac:dyDescent="0.25">
      <c r="A145" s="10" t="s">
        <v>27</v>
      </c>
      <c r="B145" s="9">
        <v>45521</v>
      </c>
      <c r="C145" s="10">
        <v>27.22</v>
      </c>
      <c r="D145" s="10">
        <f t="shared" si="6"/>
        <v>0.91999999999999815</v>
      </c>
      <c r="E145" s="1">
        <f t="shared" si="7"/>
        <v>3.4980988593155757</v>
      </c>
      <c r="F145" s="10">
        <v>25</v>
      </c>
      <c r="G145" s="8">
        <v>5</v>
      </c>
      <c r="H145" s="10">
        <v>15.562799999999999</v>
      </c>
      <c r="I145" s="1" t="s">
        <v>24</v>
      </c>
    </row>
    <row r="146" spans="1:9" ht="15.75" customHeight="1" x14ac:dyDescent="0.25">
      <c r="A146" s="10" t="s">
        <v>28</v>
      </c>
      <c r="B146" s="9">
        <v>45521</v>
      </c>
      <c r="C146" s="10">
        <v>25.27</v>
      </c>
      <c r="D146" s="10">
        <f t="shared" si="6"/>
        <v>0.85999999999999943</v>
      </c>
      <c r="E146" s="1">
        <f t="shared" si="7"/>
        <v>3.5231462515362466</v>
      </c>
      <c r="F146" s="10">
        <v>25</v>
      </c>
      <c r="G146" s="8">
        <v>5</v>
      </c>
      <c r="H146" s="10">
        <v>11.528</v>
      </c>
      <c r="I146" s="1" t="s">
        <v>24</v>
      </c>
    </row>
    <row r="147" spans="1:9" ht="15.75" customHeight="1" x14ac:dyDescent="0.25">
      <c r="A147" s="10" t="s">
        <v>29</v>
      </c>
      <c r="B147" s="9">
        <v>45521</v>
      </c>
      <c r="C147" s="10">
        <v>25.81</v>
      </c>
      <c r="D147" s="10">
        <f t="shared" si="6"/>
        <v>-1.3100000000000023</v>
      </c>
      <c r="E147" s="1">
        <f t="shared" si="7"/>
        <v>-4.830383480825958</v>
      </c>
      <c r="F147" s="10">
        <v>25</v>
      </c>
      <c r="G147" s="8">
        <v>5</v>
      </c>
      <c r="H147" s="10">
        <v>7.0216000000000003</v>
      </c>
      <c r="I147" s="1" t="s">
        <v>24</v>
      </c>
    </row>
    <row r="148" spans="1:9" ht="15.75" customHeight="1" x14ac:dyDescent="0.25">
      <c r="A148" s="10" t="s">
        <v>30</v>
      </c>
      <c r="B148" s="9">
        <v>45521</v>
      </c>
      <c r="C148" s="10">
        <v>28.69</v>
      </c>
      <c r="D148" s="10">
        <f t="shared" si="6"/>
        <v>0.19000000000000128</v>
      </c>
      <c r="E148" s="1">
        <f t="shared" si="7"/>
        <v>0.66666666666668561</v>
      </c>
      <c r="F148" s="10">
        <v>25</v>
      </c>
      <c r="G148" s="8">
        <v>5</v>
      </c>
      <c r="H148" s="10">
        <v>13.7288</v>
      </c>
      <c r="I148" s="1" t="s">
        <v>24</v>
      </c>
    </row>
    <row r="149" spans="1:9" ht="15.75" customHeight="1" x14ac:dyDescent="0.25">
      <c r="A149" s="10" t="s">
        <v>31</v>
      </c>
      <c r="B149" s="9">
        <v>45521</v>
      </c>
      <c r="C149" s="10">
        <v>25.35</v>
      </c>
      <c r="D149" s="10">
        <f t="shared" si="6"/>
        <v>1.7100000000000009</v>
      </c>
      <c r="E149" s="1">
        <f t="shared" si="7"/>
        <v>7.2335025380710647</v>
      </c>
      <c r="F149" s="10">
        <v>25</v>
      </c>
      <c r="G149" s="8">
        <v>5</v>
      </c>
      <c r="H149" s="10">
        <v>14.724399999999999</v>
      </c>
      <c r="I149" s="1" t="s">
        <v>24</v>
      </c>
    </row>
    <row r="150" spans="1:9" ht="15.75" customHeight="1" x14ac:dyDescent="0.25">
      <c r="A150" s="10" t="s">
        <v>32</v>
      </c>
      <c r="B150" s="9">
        <v>45521</v>
      </c>
      <c r="C150" s="10">
        <v>24.79</v>
      </c>
      <c r="D150" s="10">
        <f t="shared" si="6"/>
        <v>-3.9999999999999147E-2</v>
      </c>
      <c r="E150" s="1">
        <f t="shared" si="7"/>
        <v>-0.16109544905356188</v>
      </c>
      <c r="F150" s="10">
        <v>25</v>
      </c>
      <c r="G150" s="8">
        <v>5</v>
      </c>
      <c r="H150" s="10">
        <v>14.305199999999999</v>
      </c>
      <c r="I150" s="1" t="s">
        <v>24</v>
      </c>
    </row>
    <row r="151" spans="1:9" ht="15.75" customHeight="1" x14ac:dyDescent="0.25">
      <c r="A151" s="10" t="s">
        <v>33</v>
      </c>
      <c r="B151" s="9">
        <v>45521</v>
      </c>
      <c r="C151" s="10">
        <v>27.03</v>
      </c>
      <c r="D151" s="10">
        <f t="shared" si="6"/>
        <v>0.56000000000000227</v>
      </c>
      <c r="E151" s="1">
        <f t="shared" si="7"/>
        <v>2.1156025689459881</v>
      </c>
      <c r="F151" s="10">
        <v>25</v>
      </c>
      <c r="G151" s="8">
        <v>5</v>
      </c>
      <c r="H151" s="10">
        <v>13.1524</v>
      </c>
      <c r="I151" s="1" t="s">
        <v>24</v>
      </c>
    </row>
    <row r="152" spans="1:9" ht="15.75" customHeight="1" x14ac:dyDescent="0.25">
      <c r="A152" s="10" t="s">
        <v>34</v>
      </c>
      <c r="B152" s="9">
        <v>45521</v>
      </c>
      <c r="C152" s="10">
        <v>28.8</v>
      </c>
      <c r="D152" s="10">
        <f t="shared" si="6"/>
        <v>-0.39999999999999858</v>
      </c>
      <c r="E152" s="1">
        <f t="shared" si="7"/>
        <v>-1.3698630136986196</v>
      </c>
      <c r="F152" s="10">
        <v>25</v>
      </c>
      <c r="G152" s="8">
        <v>5</v>
      </c>
      <c r="H152" s="10">
        <v>11.004</v>
      </c>
      <c r="I152" s="1" t="s">
        <v>24</v>
      </c>
    </row>
    <row r="153" spans="1:9" ht="15.75" customHeight="1" x14ac:dyDescent="0.25">
      <c r="A153" s="10" t="s">
        <v>25</v>
      </c>
      <c r="B153" s="9">
        <v>45526</v>
      </c>
      <c r="C153" s="10">
        <v>27.98</v>
      </c>
      <c r="D153" s="10">
        <f>C153-C143</f>
        <v>1.4800000000000004</v>
      </c>
      <c r="E153" s="1">
        <f>C153/C143*100-100</f>
        <v>5.5849056603773732</v>
      </c>
      <c r="F153" s="10">
        <v>30</v>
      </c>
      <c r="G153" s="8">
        <v>6</v>
      </c>
      <c r="H153" s="10">
        <v>12.4712</v>
      </c>
      <c r="I153" s="1" t="s">
        <v>23</v>
      </c>
    </row>
    <row r="154" spans="1:9" ht="15.75" customHeight="1" x14ac:dyDescent="0.25">
      <c r="A154" s="10" t="s">
        <v>26</v>
      </c>
      <c r="B154" s="9">
        <v>45526</v>
      </c>
      <c r="C154" s="10">
        <v>29.98</v>
      </c>
      <c r="D154" s="10">
        <f t="shared" si="6"/>
        <v>1.6799999999999997</v>
      </c>
      <c r="E154" s="1">
        <f t="shared" si="7"/>
        <v>5.936395759717314</v>
      </c>
      <c r="F154" s="10">
        <v>30</v>
      </c>
      <c r="G154" s="8">
        <v>6</v>
      </c>
      <c r="H154" s="10">
        <v>19.5976</v>
      </c>
      <c r="I154" s="1" t="s">
        <v>23</v>
      </c>
    </row>
    <row r="155" spans="1:9" ht="15.75" customHeight="1" x14ac:dyDescent="0.25">
      <c r="A155" s="10" t="s">
        <v>27</v>
      </c>
      <c r="B155" s="9">
        <v>45526</v>
      </c>
      <c r="C155" s="10">
        <v>28.28</v>
      </c>
      <c r="D155" s="10">
        <f t="shared" si="6"/>
        <v>1.0600000000000023</v>
      </c>
      <c r="E155" s="1">
        <f t="shared" si="7"/>
        <v>3.8941954445260905</v>
      </c>
      <c r="F155" s="10">
        <v>30</v>
      </c>
      <c r="G155" s="8">
        <v>6</v>
      </c>
      <c r="H155" s="10">
        <v>13.676399999999999</v>
      </c>
      <c r="I155" s="1" t="s">
        <v>23</v>
      </c>
    </row>
    <row r="156" spans="1:9" ht="15.75" customHeight="1" x14ac:dyDescent="0.25">
      <c r="A156" s="10" t="s">
        <v>28</v>
      </c>
      <c r="B156" s="9">
        <v>45526</v>
      </c>
      <c r="C156" s="10">
        <v>27.44</v>
      </c>
      <c r="D156" s="10">
        <f t="shared" si="6"/>
        <v>2.1700000000000017</v>
      </c>
      <c r="E156" s="1">
        <f t="shared" si="7"/>
        <v>8.5872576177285396</v>
      </c>
      <c r="F156" s="10">
        <v>30</v>
      </c>
      <c r="G156" s="8">
        <v>6</v>
      </c>
      <c r="H156" s="10">
        <v>13.9908</v>
      </c>
      <c r="I156" s="1" t="s">
        <v>23</v>
      </c>
    </row>
    <row r="157" spans="1:9" ht="15.75" customHeight="1" x14ac:dyDescent="0.25">
      <c r="A157" s="10" t="s">
        <v>29</v>
      </c>
      <c r="B157" s="9">
        <v>45526</v>
      </c>
      <c r="C157" s="10">
        <v>26.35</v>
      </c>
      <c r="D157" s="10">
        <f t="shared" si="6"/>
        <v>0.5400000000000027</v>
      </c>
      <c r="E157" s="1">
        <f t="shared" si="7"/>
        <v>2.0922123208058991</v>
      </c>
      <c r="F157" s="10">
        <v>30</v>
      </c>
      <c r="G157" s="8">
        <v>6</v>
      </c>
      <c r="H157" s="10">
        <v>18.235199999999999</v>
      </c>
      <c r="I157" s="1" t="s">
        <v>23</v>
      </c>
    </row>
    <row r="158" spans="1:9" ht="15.75" customHeight="1" x14ac:dyDescent="0.25">
      <c r="A158" s="10" t="s">
        <v>30</v>
      </c>
      <c r="B158" s="9">
        <v>45526</v>
      </c>
      <c r="C158" s="10">
        <v>31.99</v>
      </c>
      <c r="D158" s="10">
        <f t="shared" si="6"/>
        <v>3.2999999999999972</v>
      </c>
      <c r="E158" s="1">
        <f t="shared" si="7"/>
        <v>11.502265597769252</v>
      </c>
      <c r="F158" s="10">
        <v>30</v>
      </c>
      <c r="G158" s="8">
        <v>6</v>
      </c>
      <c r="H158" s="10">
        <v>18.706800000000001</v>
      </c>
      <c r="I158" s="1" t="s">
        <v>23</v>
      </c>
    </row>
    <row r="159" spans="1:9" ht="15.75" customHeight="1" x14ac:dyDescent="0.25">
      <c r="A159" s="10" t="s">
        <v>31</v>
      </c>
      <c r="B159" s="9">
        <v>45526</v>
      </c>
      <c r="C159" s="10">
        <v>24.14</v>
      </c>
      <c r="D159" s="10">
        <f t="shared" si="6"/>
        <v>-1.2100000000000009</v>
      </c>
      <c r="E159" s="1">
        <f t="shared" si="7"/>
        <v>-4.7731755424063209</v>
      </c>
      <c r="F159" s="10">
        <v>30</v>
      </c>
      <c r="G159" s="8">
        <v>6</v>
      </c>
      <c r="H159" s="10">
        <v>9.3795999999999999</v>
      </c>
      <c r="I159" s="1" t="s">
        <v>23</v>
      </c>
    </row>
    <row r="160" spans="1:9" ht="15.75" customHeight="1" x14ac:dyDescent="0.25">
      <c r="A160" s="10" t="s">
        <v>32</v>
      </c>
      <c r="B160" s="9">
        <v>45526</v>
      </c>
      <c r="C160" s="10">
        <v>26.14</v>
      </c>
      <c r="D160" s="10">
        <f t="shared" si="6"/>
        <v>1.3500000000000014</v>
      </c>
      <c r="E160" s="1">
        <f t="shared" si="7"/>
        <v>5.4457442517144017</v>
      </c>
      <c r="F160" s="10">
        <v>30</v>
      </c>
      <c r="G160" s="8">
        <v>6</v>
      </c>
      <c r="H160" s="10">
        <v>12.9428</v>
      </c>
      <c r="I160" s="1" t="s">
        <v>23</v>
      </c>
    </row>
    <row r="161" spans="1:9" ht="15.75" customHeight="1" x14ac:dyDescent="0.25">
      <c r="A161" s="10" t="s">
        <v>33</v>
      </c>
      <c r="B161" s="9">
        <v>45526</v>
      </c>
      <c r="C161" s="10">
        <v>28.43</v>
      </c>
      <c r="D161" s="10">
        <f t="shared" si="6"/>
        <v>1.3999999999999986</v>
      </c>
      <c r="E161" s="1">
        <f t="shared" si="7"/>
        <v>5.1794302626710902</v>
      </c>
      <c r="F161" s="10">
        <v>30</v>
      </c>
      <c r="G161" s="8">
        <v>6</v>
      </c>
      <c r="H161" s="10">
        <v>9.5891999999999999</v>
      </c>
      <c r="I161" s="1" t="s">
        <v>23</v>
      </c>
    </row>
    <row r="162" spans="1:9" ht="15.75" customHeight="1" x14ac:dyDescent="0.25">
      <c r="A162" s="10" t="s">
        <v>34</v>
      </c>
      <c r="B162" s="9">
        <v>45526</v>
      </c>
      <c r="C162" s="10">
        <v>29.99</v>
      </c>
      <c r="D162" s="10">
        <f t="shared" si="6"/>
        <v>1.1899999999999977</v>
      </c>
      <c r="E162" s="1">
        <f t="shared" si="7"/>
        <v>4.1319444444444429</v>
      </c>
      <c r="F162" s="10">
        <v>30</v>
      </c>
      <c r="G162" s="8">
        <v>6</v>
      </c>
      <c r="H162" s="10">
        <v>10.7944</v>
      </c>
      <c r="I162" s="1" t="s">
        <v>23</v>
      </c>
    </row>
    <row r="163" spans="1:9" ht="15.75" customHeight="1" x14ac:dyDescent="0.25"/>
    <row r="164" spans="1:9" ht="15.75" customHeight="1" x14ac:dyDescent="0.25"/>
    <row r="165" spans="1:9" ht="15.75" customHeight="1" x14ac:dyDescent="0.25"/>
    <row r="166" spans="1:9" ht="15.75" customHeight="1" x14ac:dyDescent="0.25"/>
    <row r="167" spans="1:9" ht="15.75" customHeight="1" x14ac:dyDescent="0.25"/>
    <row r="168" spans="1:9" ht="15.75" customHeight="1" x14ac:dyDescent="0.25"/>
    <row r="169" spans="1:9" ht="15.75" customHeight="1" x14ac:dyDescent="0.25"/>
    <row r="170" spans="1:9" ht="15.75" customHeight="1" x14ac:dyDescent="0.25"/>
    <row r="171" spans="1:9" ht="15.75" customHeight="1" x14ac:dyDescent="0.25"/>
    <row r="172" spans="1:9" ht="15.75" customHeight="1" x14ac:dyDescent="0.25"/>
    <row r="173" spans="1:9" ht="15.75" customHeight="1" x14ac:dyDescent="0.25"/>
    <row r="174" spans="1:9" ht="15.75" customHeight="1" x14ac:dyDescent="0.25"/>
    <row r="175" spans="1:9" ht="15.75" customHeight="1" x14ac:dyDescent="0.25"/>
    <row r="176" spans="1:9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kravitz</dc:creator>
  <cp:lastModifiedBy>lex kravitz</cp:lastModifiedBy>
  <dcterms:created xsi:type="dcterms:W3CDTF">2024-06-28T16:07:07Z</dcterms:created>
  <dcterms:modified xsi:type="dcterms:W3CDTF">2025-05-06T17:01:42Z</dcterms:modified>
</cp:coreProperties>
</file>